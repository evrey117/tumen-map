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a24301d4f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Цены для карты" sheetId="1" r:id="Rcb20c39fc23e4414"/>
    <x:sheet xmlns:r="http://schemas.openxmlformats.org/officeDocument/2006/relationships" name="Источники" sheetId="2" r:id="Rfeb5fcc4639a4251"/>
    <x:sheet xmlns:r="http://schemas.openxmlformats.org/officeDocument/2006/relationships" name="Не найдено" sheetId="3" r:id="Rf48917995a12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0"/>
  </x:numFmts>
  <x:fonts count="3">
    <x:font>
      <x:sz val="11"/>
      <x:name val="Carlito"/>
    </x:font>
    <x:font>
      <x:sz val="10"/>
      <x:color rgb="FF24334A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B5C"/>
      </x:patternFill>
    </x:fill>
    <x:fill>
      <x:patternFill patternType="solid">
        <x:fgColor rgb="FFF1F5F9"/>
      </x:patternFill>
    </x:fill>
    <x:fill>
      <x:patternFill patternType="solid">
        <x:fgColor rgb="FFE1E8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1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4aa96578d4503" /><Relationship Type="http://schemas.openxmlformats.org/officeDocument/2006/relationships/theme" Target="/xl/theme/theme1.xml" Id="Rabc146737a9140a4" /><Relationship Type="http://schemas.openxmlformats.org/officeDocument/2006/relationships/sharedStrings" Target="/xl/sharedStrings.xml" Id="R5daa4b6d02ad4fd5" /><Relationship Type="http://schemas.openxmlformats.org/officeDocument/2006/relationships/worksheet" Target="/xl/worksheets/sheet1.xml" Id="Rcb20c39fc23e4414" /><Relationship Type="http://schemas.openxmlformats.org/officeDocument/2006/relationships/worksheet" Target="/xl/worksheets/sheet2.xml" Id="Rfeb5fcc4639a4251" /><Relationship Type="http://schemas.openxmlformats.org/officeDocument/2006/relationships/worksheet" Target="/xl/worksheets/sheet3.xml" Id="Rf48917995a1244d3" /></Relationships>
</file>

<file path=xl/tables/table1.xml><?xml version="1.0" encoding="utf-8"?>
<x:table xmlns:x="http://schemas.openxmlformats.org/spreadsheetml/2006/main" id="1" name="MapPrices" displayName="MapPrices" ref="A1:K18" headerRowCount="1" totalsRowCount="0" totalsRowShown="0">
  <x:tableColumns count="11">
    <x:tableColumn id="1" name="ЖК"/>
    <x:tableColumn id="2" name="Застройщик"/>
    <x:tableColumn id="3" name="Студия ₽"/>
    <x:tableColumn id="4" name="1-комн. ₽"/>
    <x:tableColumn id="5" name="2-комн. ₽"/>
    <x:tableColumn id="6" name="3-комн. ₽"/>
    <x:tableColumn id="7" name="4-комн. ₽"/>
    <x:tableColumn id="8" name="Заполнено"/>
    <x:tableColumn id="9" name="Дата проверки"/>
    <x:tableColumn id="10" name="Официальный каталог"/>
    <x:tableColumn id="11" name="Примеч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Sources" displayName="PriceSources" ref="A1:L105" headerRowCount="1" totalsRowCount="0" totalsRowShown="0">
  <x:tableColumns count="12">
    <x:tableColumn id="1" name="ID"/>
    <x:tableColumn id="2" name="ЖК"/>
    <x:tableColumn id="3" name="Комнатность"/>
    <x:tableColumn id="4" name="Цена ₽"/>
    <x:tableColumn id="5" name="Площадь м²"/>
    <x:tableColumn id="6" name="Официальная ссылка"/>
    <x:tableColumn id="7" name="Дата проверки"/>
    <x:tableColumn id="8" name="Условия оплаты / скидки"/>
    <x:tableColumn id="9" name="Квартира / корпус / этаж"/>
    <x:tableColumn id="10" name="Тип на сайте"/>
    <x:tableColumn id="11" name="Статус / обоснование изменения"/>
    <x:tableColumn id="12" name="Для карт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Prices" displayName="MissingPrices" ref="A1:F19" headerRowCount="1" totalsRowCount="0" totalsRowShown="0">
  <x:tableColumns count="6">
    <x:tableColumn id="1" name="ЖК"/>
    <x:tableColumn id="2" name="Комнатность"/>
    <x:tableColumn id="3" name="Застройщик"/>
    <x:tableColumn id="4" name="Проверенный официальный каталог"/>
    <x:tableColumn id="5" name="Дата проверки"/>
    <x:tableColumn id="6" name="Конкретная причин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17b7a53ced4a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20cf24b3244c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c1bc86d40a46ca" /></Relationships>
</file>

<file path=xl/worksheets/sheet1.xml><?xml version="1.0" encoding="utf-8"?>
<x:worksheet xmlns:x="http://schemas.openxmlformats.org/spreadsheetml/2006/main">
  <x:sheetPr>
    <x:tabColor rgb="FF203B5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2" hidden="0" customWidth="1"/>
    <x:col min="9" max="9" width="17" hidden="0" customWidth="1"/>
    <x:col min="10" max="10" width="44" hidden="0" customWidth="1"/>
    <x:col min="11" max="11" width="65" hidden="0" customWidth="1"/>
    <x:col min="13" max="13" width="26" hidden="0" customWidth="1"/>
    <x:col min="14" max="14" width="77" hidden="0" customWidth="1"/>
  </x:cols>
  <x:sheetData>
    <x:row r="1" ht="36" customHeight="1">
      <x:c r="A1" s="6" t="str">
        <x:v>ЖК</x:v>
      </x:c>
      <x:c r="B1" s="6" t="str">
        <x:v>Застройщик</x:v>
      </x:c>
      <x:c r="C1" s="6" t="str">
        <x:v>Студия ₽</x:v>
      </x:c>
      <x:c r="D1" s="6" t="str">
        <x:v>1-комн. ₽</x:v>
      </x:c>
      <x:c r="E1" s="6" t="str">
        <x:v>2-комн. ₽</x:v>
      </x:c>
      <x:c r="F1" s="6" t="str">
        <x:v>3-комн. ₽</x:v>
      </x:c>
      <x:c r="G1" s="6" t="str">
        <x:v>4-комн. ₽</x:v>
      </x:c>
      <x:c r="H1" s="6" t="str">
        <x:v>Заполнено</x:v>
      </x:c>
      <x:c r="I1" s="6" t="str">
        <x:v>Дата проверки</x:v>
      </x:c>
      <x:c r="J1" s="6" t="str">
        <x:v>Официальный каталог</x:v>
      </x:c>
      <x:c r="K1" s="6" t="str">
        <x:v>Примечание</x:v>
      </x:c>
      <x:c r="M1" s="16" t="str">
        <x:v>Показатель</x:v>
      </x:c>
      <x:c r="N1" s="16" t="str">
        <x:v>Значение</x:v>
      </x:c>
    </x:row>
    <x:row r="2" ht="46" customHeight="1">
      <x:c r="A2" s="7" t="str">
        <x:v>Румянский</x:v>
      </x:c>
      <x:c r="B2" s="7" t="str">
        <x:v>Баланс Девелопмент</x:v>
      </x:c>
      <x:c r="C2" s="8" t="n">
        <x:v>5220000</x:v>
      </x:c>
      <x:c r="D2" s="8" t="n">
        <x:v>6850000</x:v>
      </x:c>
      <x:c r="E2" s="8" t="n">
        <x:v>8070000</x:v>
      </x:c>
      <x:c r="F2" s="8" t="n">
        <x:v>9540000</x:v>
      </x:c>
      <x:c r="G2" s="8"/>
      <x:c r="H2" s="7" t="n">
        <x:f>COUNT(C2:G2)</x:f>
        <x:v>4</x:v>
      </x:c>
      <x:c r="I2" s="10" t="n">
        <x:v>46327</x:v>
      </x:c>
      <x:c r="J2" s="12" t="str">
        <x:v>https://balance-development.ru/complexes/rumyansky</x:v>
      </x:c>
      <x:c r="K2" s="12" t="str">
        <x:v>Комнатность по обозначению застройщика; условия в листе Источники</x:v>
      </x:c>
      <x:c r="M2" s="1" t="str">
        <x:v>ЖК</x:v>
      </x:c>
      <x:c r="N2" s="1" t="n">
        <x:v>17</x:v>
      </x:c>
    </x:row>
    <x:row r="3" ht="46" customHeight="1">
      <x:c r="A3" s="2" t="str">
        <x:v>Чистые пруды</x:v>
      </x:c>
      <x:c r="B3" s="2" t="str">
        <x:v>Паритет</x:v>
      </x:c>
      <x:c r="C3" s="9" t="n">
        <x:v>3736200</x:v>
      </x:c>
      <x:c r="D3" s="9" t="n">
        <x:v>4556000</x:v>
      </x:c>
      <x:c r="E3" s="9" t="n">
        <x:v>6622200</x:v>
      </x:c>
      <x:c r="F3" s="9" t="n">
        <x:v>7620600</x:v>
      </x:c>
      <x:c r="G3" s="9"/>
      <x:c r="H3" s="2" t="n">
        <x:f>COUNT(C3:G3)</x:f>
        <x:v>4</x:v>
      </x:c>
      <x:c r="I3" s="11" t="n">
        <x:v>46327</x:v>
      </x:c>
      <x:c r="J3" s="13" t="str">
        <x:v>https://xn--80aki0agnb.xn--p1ai/flats?project=cistyeprudy</x:v>
      </x:c>
      <x:c r="K3" s="13" t="str">
        <x:v>Комнатность по обозначению застройщика; условия в листе Источники</x:v>
      </x:c>
      <x:c r="M3" s="1" t="str">
        <x:v>Категорий</x:v>
      </x:c>
      <x:c r="N3" s="1" t="n">
        <x:v>85</x:v>
      </x:c>
    </x:row>
    <x:row r="4" ht="46" customHeight="1">
      <x:c r="A4" s="7" t="str">
        <x:v>Мотивы</x:v>
      </x:c>
      <x:c r="B4" s="7" t="str">
        <x:v>География</x:v>
      </x:c>
      <x:c r="C4" s="8" t="n">
        <x:v>3502000</x:v>
      </x:c>
      <x:c r="D4" s="8" t="n">
        <x:v>4995000</x:v>
      </x:c>
      <x:c r="E4" s="8" t="n">
        <x:v>6879400</x:v>
      </x:c>
      <x:c r="F4" s="8" t="n">
        <x:v>8680000</x:v>
      </x:c>
      <x:c r="G4" s="8"/>
      <x:c r="H4" s="7" t="n">
        <x:f>COUNT(C4:G4)</x:f>
        <x:v>4</x:v>
      </x:c>
      <x:c r="I4" s="10" t="n">
        <x:v>46327</x:v>
      </x:c>
      <x:c r="J4" s="12" t="str">
        <x:v>https://xn--80afahr7ap7a8g.xn--p1ai/apartments/</x:v>
      </x:c>
      <x:c r="K4" s="12" t="str">
        <x:v>Комнатность по обозначению застройщика; условия в листе Источники</x:v>
      </x:c>
      <x:c r="M4" s="1" t="str">
        <x:v>Заполнено</x:v>
      </x:c>
      <x:c r="N4" s="1" t="n">
        <x:f>COUNT(C2:G18)</x:f>
        <x:v>67</x:v>
      </x:c>
    </x:row>
    <x:row r="5" ht="46" customHeight="1">
      <x:c r="A5" s="2" t="str">
        <x:v>Окинава</x:v>
      </x:c>
      <x:c r="B5" s="2" t="str">
        <x:v>География</x:v>
      </x:c>
      <x:c r="C5" s="9" t="n">
        <x:v>4200000</x:v>
      </x:c>
      <x:c r="D5" s="9" t="n">
        <x:v>6451500</x:v>
      </x:c>
      <x:c r="E5" s="9" t="n">
        <x:v>8987632</x:v>
      </x:c>
      <x:c r="F5" s="9" t="n">
        <x:v>8925000</x:v>
      </x:c>
      <x:c r="G5" s="9"/>
      <x:c r="H5" s="2" t="n">
        <x:f>COUNT(C5:G5)</x:f>
        <x:v>4</x:v>
      </x:c>
      <x:c r="I5" s="11" t="n">
        <x:v>46327</x:v>
      </x:c>
      <x:c r="J5" s="13" t="str">
        <x:v>https://xn--80afahr7ap7a8g.xn--p1ai/apartments/</x:v>
      </x:c>
      <x:c r="K5" s="13" t="str">
        <x:v>Комнатность по обозначению застройщика; условия в листе Источники</x:v>
      </x:c>
      <x:c r="M5" s="1" t="str">
        <x:v>Не заполнено</x:v>
      </x:c>
      <x:c r="N5" s="1" t="n">
        <x:f>85-N4</x:f>
        <x:v>18</x:v>
      </x:c>
    </x:row>
    <x:row r="6" ht="46" customHeight="1">
      <x:c r="A6" s="7" t="str">
        <x:v>Челюскинцев, 5</x:v>
      </x:c>
      <x:c r="B6" s="7" t="str">
        <x:v>ПСК Дом</x:v>
      </x:c>
      <x:c r="C6" s="8" t="n">
        <x:v>10140000</x:v>
      </x:c>
      <x:c r="D6" s="8"/>
      <x:c r="E6" s="8" t="n">
        <x:v>13680000</x:v>
      </x:c>
      <x:c r="F6" s="8"/>
      <x:c r="G6" s="8"/>
      <x:c r="H6" s="7" t="n">
        <x:f>COUNT(C6:G6)</x:f>
        <x:v>2</x:v>
      </x:c>
      <x:c r="I6" s="10" t="n">
        <x:v>46327</x:v>
      </x:c>
      <x:c r="J6" s="12" t="str">
        <x:v>https://premium.72dom.com/?complexes=%D0%A7%D0%B5%D0%BB%D1%8E%D1%81%D0%BA%D0%B8%D0%BD%D1%86%D0%B5%D0%B2+5</x:v>
      </x:c>
      <x:c r="K6" s="12" t="str">
        <x:v>Каталог 500 после первой загрузки. 2Е включает кухню-гостиную</x:v>
      </x:c>
      <x:c r="M6" s="1" t="str">
        <x:v>Дата проверки</x:v>
      </x:c>
      <x:c r="N6" s="19" t="n">
        <x:v>46327</x:v>
      </x:c>
    </x:row>
    <x:row r="7" ht="46" customHeight="1">
      <x:c r="A7" s="2" t="str">
        <x:v>Добро на ДОКе</x:v>
      </x:c>
      <x:c r="B7" s="2" t="str">
        <x:v>ИНКО</x:v>
      </x:c>
      <x:c r="C7" s="9"/>
      <x:c r="D7" s="9" t="n">
        <x:v>4900000</x:v>
      </x:c>
      <x:c r="E7" s="9" t="n">
        <x:v>6500000</x:v>
      </x:c>
      <x:c r="F7" s="9" t="n">
        <x:v>8725000</x:v>
      </x:c>
      <x:c r="G7" s="9"/>
      <x:c r="H7" s="2" t="n">
        <x:f>COUNT(C7:G7)</x:f>
        <x:v>3</x:v>
      </x:c>
      <x:c r="I7" s="11" t="n">
        <x:v>46327</x:v>
      </x:c>
      <x:c r="J7" s="13" t="str">
        <x:v>https://gkinko.ru/kvartiry/dobrodok?project=7235482</x:v>
      </x:c>
      <x:c r="K7" s="13" t="str">
        <x:v>Комнатность по обозначению застройщика; условия в листе Источники</x:v>
      </x:c>
      <x:c r="M7" s="1" t="str">
        <x:v>Ранее в карте</x:v>
      </x:c>
      <x:c r="N7" s="1" t="n">
        <x:v>28</x:v>
      </x:c>
    </x:row>
    <x:row r="8" ht="46" customHeight="1">
      <x:c r="A8" s="7" t="str">
        <x:v>Футуро</x:v>
      </x:c>
      <x:c r="B8" s="7" t="str">
        <x:v>Newton</x:v>
      </x:c>
      <x:c r="C8" s="8"/>
      <x:c r="D8" s="8" t="n">
        <x:v>8510000</x:v>
      </x:c>
      <x:c r="E8" s="8" t="n">
        <x:v>9310000</x:v>
      </x:c>
      <x:c r="F8" s="8" t="n">
        <x:v>11400000</x:v>
      </x:c>
      <x:c r="G8" s="8"/>
      <x:c r="H8" s="7" t="n">
        <x:f>COUNT(C8:G8)</x:f>
        <x:v>3</x:v>
      </x:c>
      <x:c r="I8" s="10" t="n">
        <x:v>46327</x:v>
      </x:c>
      <x:c r="J8" s="12" t="str">
        <x:v>https://newton.ru/futuro/flats</x:v>
      </x:c>
      <x:c r="K8" s="12" t="str">
        <x:v>Комнатность по обозначению застройщика; условия в листе Источники</x:v>
      </x:c>
      <x:c r="M8" s="1" t="str">
        <x:v>Изменение числа цен</x:v>
      </x:c>
      <x:c r="N8" s="1" t="n">
        <x:f>N4-N7</x:f>
        <x:v>39</x:v>
      </x:c>
    </x:row>
    <x:row r="9" ht="46" customHeight="1">
      <x:c r="A9" s="2" t="str">
        <x:v>Айвазовский</x:v>
      </x:c>
      <x:c r="B9" s="2" t="str">
        <x:v>ЭНКО</x:v>
      </x:c>
      <x:c r="C9" s="9" t="n">
        <x:v>5638440</x:v>
      </x:c>
      <x:c r="D9" s="9" t="n">
        <x:v>6739152</x:v>
      </x:c>
      <x:c r="E9" s="9" t="n">
        <x:v>8978220</x:v>
      </x:c>
      <x:c r="F9" s="9" t="n">
        <x:v>9738900</x:v>
      </x:c>
      <x:c r="G9" s="9" t="n">
        <x:v>32504000</x:v>
      </x:c>
      <x:c r="H9" s="2" t="n">
        <x:f>COUNT(C9:G9)</x:f>
        <x:v>5</x:v>
      </x:c>
      <x:c r="I9" s="11" t="n">
        <x:v>46327</x:v>
      </x:c>
      <x:c r="J9" s="13" t="str">
        <x:v>https://enco.ru/search/apartments/project/ayvazovskiy/</x:v>
      </x:c>
      <x:c r="K9" s="13" t="str">
        <x:v>Комнатность по обозначению застройщика; условия в листе Источники</x:v>
      </x:c>
      <x:c r="M9" s="1"/>
      <x:c r="N9" s="1"/>
    </x:row>
    <x:row r="10" ht="46" customHeight="1">
      <x:c r="A10" s="7" t="str">
        <x:v>Прео</x:v>
      </x:c>
      <x:c r="B10" s="7" t="str">
        <x:v>ЭНКО</x:v>
      </x:c>
      <x:c r="C10" s="8" t="n">
        <x:v>4712403</x:v>
      </x:c>
      <x:c r="D10" s="8" t="n">
        <x:v>5406876</x:v>
      </x:c>
      <x:c r="E10" s="8" t="n">
        <x:v>7338713</x:v>
      </x:c>
      <x:c r="F10" s="8" t="n">
        <x:v>9992340</x:v>
      </x:c>
      <x:c r="G10" s="8"/>
      <x:c r="H10" s="7" t="n">
        <x:f>COUNT(C10:G10)</x:f>
        <x:v>4</x:v>
      </x:c>
      <x:c r="I10" s="10" t="n">
        <x:v>46327</x:v>
      </x:c>
      <x:c r="J10" s="12" t="str">
        <x:v>https://enco.ru/search/apartments/project/preo/</x:v>
      </x:c>
      <x:c r="K10" s="12" t="str">
        <x:v>Комнатность по обозначению застройщика; условия в листе Источники</x:v>
      </x:c>
      <x:c r="M10" s="1"/>
      <x:c r="N10" s="1"/>
    </x:row>
    <x:row r="11" ht="49" customHeight="1">
      <x:c r="A11" s="2" t="str">
        <x:v>Фатера</x:v>
      </x:c>
      <x:c r="B11" s="2" t="str">
        <x:v>Характер Девелопмент</x:v>
      </x:c>
      <x:c r="C11" s="9" t="n">
        <x:v>5599327</x:v>
      </x:c>
      <x:c r="D11" s="9" t="n">
        <x:v>5508500</x:v>
      </x:c>
      <x:c r="E11" s="9" t="n">
        <x:v>7306387</x:v>
      </x:c>
      <x:c r="F11" s="9" t="n">
        <x:v>9831350</x:v>
      </x:c>
      <x:c r="G11" s="9"/>
      <x:c r="H11" s="2" t="n">
        <x:f>COUNT(C11:G11)</x:f>
        <x:v>4</x:v>
      </x:c>
      <x:c r="I11" s="11" t="n">
        <x:v>46327</x:v>
      </x:c>
      <x:c r="J11" s="13" t="str">
        <x:v>https://xn--80aapt2admt.xn--p1ai/catalog/apartments?complex=xarakter_fatera&amp;city_id=1</x:v>
      </x:c>
      <x:c r="K11" s="13" t="str">
        <x:v>Комнатность по обозначению застройщика; условия в листе Источники</x:v>
      </x:c>
      <x:c r="M11" s="17" t="str">
        <x:v>Как читать данные</x:v>
      </x:c>
      <x:c r="N11" s="18" t="str">
        <x:v>Правило</x:v>
      </x:c>
    </x:row>
    <x:row r="12" ht="49" customHeight="1">
      <x:c r="A12" s="7" t="str">
        <x:v>Домашний</x:v>
      </x:c>
      <x:c r="B12" s="7" t="str">
        <x:v>Страна Девелопмент</x:v>
      </x:c>
      <x:c r="C12" s="8" t="n">
        <x:v>4090000</x:v>
      </x:c>
      <x:c r="D12" s="8" t="n">
        <x:v>5300000</x:v>
      </x:c>
      <x:c r="E12" s="8" t="n">
        <x:v>5450000</x:v>
      </x:c>
      <x:c r="F12" s="8" t="n">
        <x:v>7663000</x:v>
      </x:c>
      <x:c r="G12" s="8" t="n">
        <x:v>10910000</x:v>
      </x:c>
      <x:c r="H12" s="7" t="n">
        <x:f>COUNT(C12:G12)</x:f>
        <x:v>5</x:v>
      </x:c>
      <x:c r="I12" s="10" t="n">
        <x:v>46327</x:v>
      </x:c>
      <x:c r="J12" s="12" t="str">
        <x:v>https://strana.com/tmn/flats/?project=UHJvamVjdFR5cGU6ZG9tYXNobnlp</x:v>
      </x:c>
      <x:c r="K12" s="12" t="str">
        <x:v>Комнатность по обозначению застройщика; условия в листе Источники</x:v>
      </x:c>
      <x:c r="M12" s="1" t="str">
        <x:v>Стоимость</x:v>
      </x:c>
      <x:c r="N12" s="14" t="str">
        <x:v>Самая дешёвая среди найденных конкретных предложений. Абсолютный минимум по ЖК не гарантируется.</x:v>
      </x:c>
    </x:row>
    <x:row r="13" ht="49" customHeight="1">
      <x:c r="A13" s="2" t="str">
        <x:v>Сердце Сибири</x:v>
      </x:c>
      <x:c r="B13" s="2" t="str">
        <x:v>Страна Девелопмент</x:v>
      </x:c>
      <x:c r="C13" s="9" t="n">
        <x:v>5349000</x:v>
      </x:c>
      <x:c r="D13" s="9" t="n">
        <x:v>6500000</x:v>
      </x:c>
      <x:c r="E13" s="9" t="n">
        <x:v>6350000</x:v>
      </x:c>
      <x:c r="F13" s="9" t="n">
        <x:v>9000000</x:v>
      </x:c>
      <x:c r="G13" s="9" t="n">
        <x:v>11570000</x:v>
      </x:c>
      <x:c r="H13" s="2" t="n">
        <x:f>COUNT(C13:G13)</x:f>
        <x:v>5</x:v>
      </x:c>
      <x:c r="I13" s="11" t="n">
        <x:v>46327</x:v>
      </x:c>
      <x:c r="J13" s="13" t="str">
        <x:v>https://strana.com/tmn/projects/serdtche-sibiri/</x:v>
      </x:c>
      <x:c r="K13" s="13" t="str">
        <x:v>Комнатность по обозначению застройщика; условия в листе Источники</x:v>
      </x:c>
      <x:c r="M13" s="1" t="str">
        <x:v>Пустые ячейки</x:v>
      </x:c>
      <x:c r="N13" s="14" t="str">
        <x:v>Не ноль и не подтверждение отсутствия квартиры. Причины в листе Не найдено.</x:v>
      </x:c>
    </x:row>
    <x:row r="14" ht="49" customHeight="1">
      <x:c r="A14" s="7" t="str">
        <x:v>Остров-сад</x:v>
      </x:c>
      <x:c r="B14" s="7" t="str">
        <x:v>Страна Девелопмент</x:v>
      </x:c>
      <x:c r="C14" s="8" t="n">
        <x:v>4360000</x:v>
      </x:c>
      <x:c r="D14" s="8" t="n">
        <x:v>5420000</x:v>
      </x:c>
      <x:c r="E14" s="8" t="n">
        <x:v>5230000</x:v>
      </x:c>
      <x:c r="F14" s="8" t="n">
        <x:v>8380000</x:v>
      </x:c>
      <x:c r="G14" s="8" t="n">
        <x:v>11480000</x:v>
      </x:c>
      <x:c r="H14" s="7" t="n">
        <x:f>COUNT(C14:G14)</x:f>
        <x:v>5</x:v>
      </x:c>
      <x:c r="I14" s="10" t="n">
        <x:v>46327</x:v>
      </x:c>
      <x:c r="J14" s="12" t="str">
        <x:v>https://strana.com/tmn/projects/ostrov-sad/</x:v>
      </x:c>
      <x:c r="K14" s="12" t="str">
        <x:v>Комнатность по обозначению застройщика; условия в листе Источники</x:v>
      </x:c>
      <x:c r="M14" s="1" t="str">
        <x:v>Комнатность</x:v>
      </x:c>
      <x:c r="N14" s="14" t="str">
        <x:v>Названия застройщика сохранены. Евроформат может считать кухню-гостиную комнатой. Не сравнивать число спален без планировки.</x:v>
      </x:c>
    </x:row>
    <x:row r="15" ht="49" customHeight="1">
      <x:c r="A15" s="2" t="str">
        <x:v>Сибирский</x:v>
      </x:c>
      <x:c r="B15" s="2" t="str">
        <x:v>Люди</x:v>
      </x:c>
      <x:c r="C15" s="9" t="n">
        <x:v>3257600</x:v>
      </x:c>
      <x:c r="D15" s="9" t="n">
        <x:v>4493600</x:v>
      </x:c>
      <x:c r="E15" s="9" t="n">
        <x:v>6357600</x:v>
      </x:c>
      <x:c r="F15" s="9" t="n">
        <x:v>7680800</x:v>
      </x:c>
      <x:c r="G15" s="9"/>
      <x:c r="H15" s="2" t="n">
        <x:f>COUNT(C15:G15)</x:f>
        <x:v>4</x:v>
      </x:c>
      <x:c r="I15" s="11" t="n">
        <x:v>46327</x:v>
      </x:c>
      <x:c r="J15" s="13" t="str">
        <x:v>https://ludi-ludi.ru/flats/sibirskiy/</x:v>
      </x:c>
      <x:c r="K15" s="13" t="str">
        <x:v>Комнатность по обозначению застройщика; условия в листе Источники</x:v>
      </x:c>
      <x:c r="M15" s="1" t="str">
        <x:v>Скидки</x:v>
      </x:c>
      <x:c r="N15" s="14" t="str">
        <x:v>Цена может зависеть от 100% оплаты, ипотеки или программы лояльности. Условия в Источниках.</x:v>
      </x:c>
    </x:row>
    <x:row r="16" ht="49" customHeight="1">
      <x:c r="A16" s="7" t="str">
        <x:v>Символ</x:v>
      </x:c>
      <x:c r="B16" s="7" t="str">
        <x:v>ГК Создатели</x:v>
      </x:c>
      <x:c r="C16" s="8" t="n">
        <x:v>5230000</x:v>
      </x:c>
      <x:c r="D16" s="8" t="n">
        <x:v>5260000</x:v>
      </x:c>
      <x:c r="E16" s="8" t="n">
        <x:v>7040000</x:v>
      </x:c>
      <x:c r="F16" s="8" t="n">
        <x:v>8390000</x:v>
      </x:c>
      <x:c r="G16" s="8"/>
      <x:c r="H16" s="7" t="n">
        <x:f>COUNT(C16:G16)</x:f>
        <x:v>4</x:v>
      </x:c>
      <x:c r="I16" s="10" t="n">
        <x:v>46327</x:v>
      </x:c>
      <x:c r="J16" s="12" t="str">
        <x:v>https://xn--80ahefirqxn.xn--p1ai/realty?projects=simvol</x:v>
      </x:c>
      <x:c r="K16" s="12" t="str">
        <x:v>Комнатность по обозначению застройщика; условия в листе Источники</x:v>
      </x:c>
      <x:c r="M16" s="1" t="str">
        <x:v>Старые данные</x:v>
      </x:c>
      <x:c r="N16" s="14" t="str">
        <x:v>Все строки исходного листа источников сохранены как архив и исключены из импорта.</x:v>
      </x:c>
    </x:row>
    <x:row r="17" ht="49" customHeight="1">
      <x:c r="A17" s="2" t="str">
        <x:v>Сезоны</x:v>
      </x:c>
      <x:c r="B17" s="2" t="str">
        <x:v>4D</x:v>
      </x:c>
      <x:c r="C17" s="9" t="n">
        <x:v>4870000</x:v>
      </x:c>
      <x:c r="D17" s="9" t="n">
        <x:v>5590000</x:v>
      </x:c>
      <x:c r="E17" s="9" t="n">
        <x:v>7300000</x:v>
      </x:c>
      <x:c r="F17" s="9" t="n">
        <x:v>9010000</x:v>
      </x:c>
      <x:c r="G17" s="9"/>
      <x:c r="H17" s="2" t="n">
        <x:f>COUNT(C17:G17)</x:f>
        <x:v>4</x:v>
      </x:c>
      <x:c r="I17" s="11" t="n">
        <x:v>46327</x:v>
      </x:c>
      <x:c r="J17" s="13" t="str">
        <x:v>https://4d.life/flats/zhk-sezony/</x:v>
      </x:c>
      <x:c r="K17" s="13" t="str">
        <x:v>Комнатность по обозначению застройщика; условия в листе Источники</x:v>
      </x:c>
      <x:c r="M17" s="1" t="str">
        <x:v>Импорт в карту</x:v>
      </x:c>
      <x:c r="N17" s="14" t="str">
        <x:v>Основная таблица A1:K18. Источники: фильтр Для карты = 1. Цены — целые рубли, пропуски — пустые ячейки.</x:v>
      </x:c>
    </x:row>
    <x:row r="18" ht="46" customHeight="1">
      <x:c r="A18" s="7" t="str">
        <x:v>Плэй</x:v>
      </x:c>
      <x:c r="B18" s="7" t="str">
        <x:v>Newton</x:v>
      </x:c>
      <x:c r="C18" s="8"/>
      <x:c r="D18" s="8" t="n">
        <x:v>6008000</x:v>
      </x:c>
      <x:c r="E18" s="8" t="n">
        <x:v>7304000</x:v>
      </x:c>
      <x:c r="F18" s="8" t="n">
        <x:v>9762000</x:v>
      </x:c>
      <x:c r="G18" s="8"/>
      <x:c r="H18" s="7" t="n">
        <x:f>COUNT(C18:G18)</x:f>
        <x:v>3</x:v>
      </x:c>
      <x:c r="I18" s="10" t="n">
        <x:v>46327</x:v>
      </x:c>
      <x:c r="J18" s="12" t="str">
        <x:v>https://newton.ru/play/flats</x:v>
      </x:c>
      <x:c r="K18" s="12" t="str">
        <x:v>Комнатность по обозначению застройщика; условия в листе Источники</x:v>
      </x:c>
    </x:row>
  </x:sheetData>
  <x:conditionalFormatting sqref="C2:G18">
    <x:cfRule type="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5417b7a53ced4a86"/>
  </x:tableParts>
</x:worksheet>
</file>

<file path=xl/worksheets/sheet2.xml><?xml version="1.0" encoding="utf-8"?>
<x:worksheet xmlns:x="http://schemas.openxmlformats.org/spreadsheetml/2006/main">
  <x:sheetPr>
    <x:tabColor rgb="FF6D86A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1" hidden="0" customWidth="1"/>
    <x:col min="3" max="3" width="21" hidden="0" customWidth="1"/>
    <x:col min="4" max="4" width="17" hidden="0" customWidth="1"/>
    <x:col min="5" max="5" width="13" hidden="0" customWidth="1"/>
    <x:col min="6" max="6" width="68" hidden="0" customWidth="1"/>
    <x:col min="7" max="7" width="17" hidden="0" customWidth="1"/>
    <x:col min="8" max="8" width="76" hidden="0" customWidth="1"/>
    <x:col min="9" max="9" width="58" hidden="0" customWidth="1"/>
    <x:col min="10" max="10" width="35" hidden="0" customWidth="1"/>
    <x:col min="11" max="11" width="95" hidden="0" customWidth="1"/>
    <x:col min="12" max="12" width="12" hidden="0" customWidth="1"/>
  </x:cols>
  <x:sheetData>
    <x:row r="1" ht="36" customHeight="1">
      <x:c r="A1" s="6" t="str">
        <x:v>ID</x:v>
      </x:c>
      <x:c r="B1" s="6" t="str">
        <x:v>ЖК</x:v>
      </x:c>
      <x:c r="C1" s="6" t="str">
        <x:v>Комнатность</x:v>
      </x:c>
      <x:c r="D1" s="6" t="str">
        <x:v>Цена ₽</x:v>
      </x:c>
      <x:c r="E1" s="6" t="str">
        <x:v>Площадь м²</x:v>
      </x:c>
      <x:c r="F1" s="6" t="str">
        <x:v>Официальная ссылка</x:v>
      </x:c>
      <x:c r="G1" s="6" t="str">
        <x:v>Дата проверки</x:v>
      </x:c>
      <x:c r="H1" s="6" t="str">
        <x:v>Условия оплаты / скидки</x:v>
      </x:c>
      <x:c r="I1" s="6" t="str">
        <x:v>Квартира / корпус / этаж</x:v>
      </x:c>
      <x:c r="J1" s="6" t="str">
        <x:v>Тип на сайте</x:v>
      </x:c>
      <x:c r="K1" s="6" t="str">
        <x:v>Статус / обоснование изменения</x:v>
      </x:c>
      <x:c r="L1" s="6" t="str">
        <x:v>Для карты</x:v>
      </x:c>
    </x:row>
    <x:row r="2" ht="69" customHeight="1">
      <x:c r="A2" s="7" t="str">
        <x:v>P001</x:v>
      </x:c>
      <x:c r="B2" s="7" t="str">
        <x:v>Румянский</x:v>
      </x:c>
      <x:c r="C2" s="7" t="str">
        <x:v>Студия</x:v>
      </x:c>
      <x:c r="D2" s="8" t="n">
        <x:v>5220000</x:v>
      </x:c>
      <x:c r="E2" s="20" t="n">
        <x:v>27.14</x:v>
      </x:c>
      <x:c r="F2" s="12" t="str">
        <x:v>https://balance-development.ru/complexes/rumyansky/flats/1c63f542-a845-4906-9ad1-aa96d311ff2b</x:v>
      </x:c>
      <x:c r="G2" s="22" t="n">
        <x:v>46327</x:v>
      </x:c>
      <x:c r="H2" s="12" t="str">
        <x:v>Черная пятница. На сайте 5 460 000 → 5 220 000 ₽. Привязка скидки к способу оплаты не раскрыта</x:v>
      </x:c>
      <x:c r="I2" s="12" t="str">
        <x:v>№146; 2 очередь, секция 2, этаж 4</x:v>
      </x:c>
      <x:c r="J2" s="12" t="str">
        <x:v>Студия</x:v>
      </x:c>
      <x:c r="K2" s="12" t="str">
        <x:v>Проверено в облачном браузере</x:v>
      </x:c>
      <x:c r="L2" s="7" t="n">
        <x:v>1</x:v>
      </x:c>
    </x:row>
    <x:row r="3" ht="69" customHeight="1">
      <x:c r="A3" s="2" t="str">
        <x:v>P002</x:v>
      </x:c>
      <x:c r="B3" s="2" t="str">
        <x:v>Румянский</x:v>
      </x:c>
      <x:c r="C3" s="2" t="str">
        <x:v>1-комнатная</x:v>
      </x:c>
      <x:c r="D3" s="9" t="n">
        <x:v>6850000</x:v>
      </x:c>
      <x:c r="E3" s="21" t="n">
        <x:v>38.31</x:v>
      </x:c>
      <x:c r="F3" s="13" t="str">
        <x:v>https://balance-development.ru/complexes/rumyansky/flats/77afd296-d8a4-42af-bf3e-6db11fe13b82</x:v>
      </x:c>
      <x:c r="G3" s="23" t="n">
        <x:v>46327</x:v>
      </x:c>
      <x:c r="H3" s="13" t="str">
        <x:v>Черная пятница. 8 126 000 → 6 850 000 ₽. Условия оплаты не раскрыты</x:v>
      </x:c>
      <x:c r="I3" s="13" t="str">
        <x:v>№132; 2 очередь, секция 2, этаж 2</x:v>
      </x:c>
      <x:c r="J3" s="13" t="str">
        <x:v>1-комнатная</x:v>
      </x:c>
      <x:c r="K3" s="13" t="str">
        <x:v>Проверено в облачном браузере</x:v>
      </x:c>
      <x:c r="L3" s="2" t="n">
        <x:v>1</x:v>
      </x:c>
    </x:row>
    <x:row r="4" ht="69" customHeight="1">
      <x:c r="A4" s="7" t="str">
        <x:v>P003</x:v>
      </x:c>
      <x:c r="B4" s="7" t="str">
        <x:v>Румянский</x:v>
      </x:c>
      <x:c r="C4" s="7" t="str">
        <x:v>2-комнатная</x:v>
      </x:c>
      <x:c r="D4" s="8" t="n">
        <x:v>8070000</x:v>
      </x:c>
      <x:c r="E4" s="20" t="n">
        <x:v>59.2</x:v>
      </x:c>
      <x:c r="F4" s="12" t="str">
        <x:v>https://balance-development.ru/complexes/rumyansky/flats/19d6c9d2-ff82-4487-bd66-a6c922c69637</x:v>
      </x:c>
      <x:c r="G4" s="22" t="n">
        <x:v>46327</x:v>
      </x:c>
      <x:c r="H4" s="12" t="str">
        <x:v>Отображённая цена без отдельного условия скидки</x:v>
      </x:c>
      <x:c r="I4" s="12" t="str">
        <x:v>№7; 2 очередь, секция 1, этаж 2</x:v>
      </x:c>
      <x:c r="J4" s="12" t="str">
        <x:v>2-комнатная</x:v>
      </x:c>
      <x:c r="K4" s="12" t="str">
        <x:v>Проверено в облачном браузере</x:v>
      </x:c>
      <x:c r="L4" s="7" t="n">
        <x:v>1</x:v>
      </x:c>
    </x:row>
    <x:row r="5" ht="69" customHeight="1">
      <x:c r="A5" s="2" t="str">
        <x:v>P004</x:v>
      </x:c>
      <x:c r="B5" s="2" t="str">
        <x:v>Румянский</x:v>
      </x:c>
      <x:c r="C5" s="2" t="str">
        <x:v>3-комнатная</x:v>
      </x:c>
      <x:c r="D5" s="9" t="n">
        <x:v>9540000</x:v>
      </x:c>
      <x:c r="E5" s="21" t="n">
        <x:v>83.55</x:v>
      </x:c>
      <x:c r="F5" s="13" t="str">
        <x:v>https://balance-development.ru/complexes/rumyansky/flats/3364a656-d225-40a5-b39a-5bf5cc5e183c</x:v>
      </x:c>
      <x:c r="G5" s="23" t="n">
        <x:v>46327</x:v>
      </x:c>
      <x:c r="H5" s="13" t="str">
        <x:v>Черная пятница. 11 250 000 → 9 540 000 ₽. Условия оплаты не раскрыты</x:v>
      </x:c>
      <x:c r="I5" s="13" t="str">
        <x:v>№226; 1 очередь, секция 1, этаж 22</x:v>
      </x:c>
      <x:c r="J5" s="13" t="str">
        <x:v>3-комнатная</x:v>
      </x:c>
      <x:c r="K5" s="13" t="str">
        <x:v>Проверено в облачном браузере</x:v>
      </x:c>
      <x:c r="L5" s="2" t="n">
        <x:v>1</x:v>
      </x:c>
    </x:row>
    <x:row r="6" ht="69" customHeight="1">
      <x:c r="A6" s="7" t="str">
        <x:v>P005</x:v>
      </x:c>
      <x:c r="B6" s="7" t="str">
        <x:v>Чистые пруды</x:v>
      </x:c>
      <x:c r="C6" s="7" t="str">
        <x:v>Студия</x:v>
      </x:c>
      <x:c r="D6" s="8" t="n">
        <x:v>3736200</x:v>
      </x:c>
      <x:c r="E6" s="20" t="n">
        <x:v>26.5</x:v>
      </x:c>
      <x:c r="F6" s="12" t="str">
        <x:v>https://xn--80aki0agnb.xn--p1ai/flats/flat-18086280</x:v>
      </x:c>
      <x:c r="G6" s="22" t="n">
        <x:v>46327</x:v>
      </x:c>
      <x:c r="H6" s="12" t="str">
        <x:v>Старт продаж, скидка 22%: 4 790 000 → 3 736 200 ₽. Способ оплаты не указан</x:v>
      </x:c>
      <x:c r="I6" s="12" t="str">
        <x:v>ГП-3; этаж 5/24</x:v>
      </x:c>
      <x:c r="J6" s="12" t="str">
        <x:v>Студия</x:v>
      </x:c>
      <x:c r="K6" s="12" t="str">
        <x:v>Проверено в облачном браузере</x:v>
      </x:c>
      <x:c r="L6" s="7" t="n">
        <x:v>1</x:v>
      </x:c>
    </x:row>
    <x:row r="7" ht="69" customHeight="1">
      <x:c r="A7" s="2" t="str">
        <x:v>P006</x:v>
      </x:c>
      <x:c r="B7" s="2" t="str">
        <x:v>Чистые пруды</x:v>
      </x:c>
      <x:c r="C7" s="2" t="str">
        <x:v>1-комнатная</x:v>
      </x:c>
      <x:c r="D7" s="9" t="n">
        <x:v>4556000</x:v>
      </x:c>
      <x:c r="E7" s="21" t="n">
        <x:v>29.5</x:v>
      </x:c>
      <x:c r="F7" s="13" t="str">
        <x:v>https://xn--80aki0agnb.xn--p1ai/flats/flat-18086783</x:v>
      </x:c>
      <x:c r="G7" s="23" t="n">
        <x:v>46327</x:v>
      </x:c>
      <x:c r="H7" s="13" t="str">
        <x:v>Скидка 15%: 5 360 000 → 4 556 000 ₽. Способ оплаты не указан</x:v>
      </x:c>
      <x:c r="I7" s="13" t="str">
        <x:v>ГП-3; этаж 7/13</x:v>
      </x:c>
      <x:c r="J7" s="13" t="str">
        <x:v>1-комнатная</x:v>
      </x:c>
      <x:c r="K7" s="13" t="str">
        <x:v>Проверено в облачном браузере</x:v>
      </x:c>
      <x:c r="L7" s="2" t="n">
        <x:v>1</x:v>
      </x:c>
    </x:row>
    <x:row r="8" ht="69" customHeight="1">
      <x:c r="A8" s="7" t="str">
        <x:v>P007</x:v>
      </x:c>
      <x:c r="B8" s="7" t="str">
        <x:v>Чистые пруды</x:v>
      </x:c>
      <x:c r="C8" s="7" t="str">
        <x:v>2-комнатная</x:v>
      </x:c>
      <x:c r="D8" s="8" t="n">
        <x:v>6622200</x:v>
      </x:c>
      <x:c r="E8" s="20" t="n">
        <x:v>53.8</x:v>
      </x:c>
      <x:c r="F8" s="12" t="str">
        <x:v>https://xn--80aki0agnb.xn--p1ai/flats/flat-18086740</x:v>
      </x:c>
      <x:c r="G8" s="22" t="n">
        <x:v>46327</x:v>
      </x:c>
      <x:c r="H8" s="12" t="str">
        <x:v>Старт продаж, скидка 22%: 8 490 000 → 6 622 200 ₽. Способ оплаты не указан</x:v>
      </x:c>
      <x:c r="I8" s="12" t="str">
        <x:v>ГП-3; этаж 3/13</x:v>
      </x:c>
      <x:c r="J8" s="12" t="str">
        <x:v>2-комнатная</x:v>
      </x:c>
      <x:c r="K8" s="12" t="str">
        <x:v>Проверено в облачном браузере</x:v>
      </x:c>
      <x:c r="L8" s="7" t="n">
        <x:v>1</x:v>
      </x:c>
    </x:row>
    <x:row r="9" ht="69" customHeight="1">
      <x:c r="A9" s="2" t="str">
        <x:v>P008</x:v>
      </x:c>
      <x:c r="B9" s="2" t="str">
        <x:v>Чистые пруды</x:v>
      </x:c>
      <x:c r="C9" s="2" t="str">
        <x:v>3-комнатная</x:v>
      </x:c>
      <x:c r="D9" s="9" t="n">
        <x:v>7620600</x:v>
      </x:c>
      <x:c r="E9" s="21" t="n">
        <x:v>68.4</x:v>
      </x:c>
      <x:c r="F9" s="13" t="str">
        <x:v>https://xn--80aki0agnb.xn--p1ai/flats/flat-18086261</x:v>
      </x:c>
      <x:c r="G9" s="23" t="n">
        <x:v>46327</x:v>
      </x:c>
      <x:c r="H9" s="13" t="str">
        <x:v>Старт продаж, скидка 22%: 9 770 000 → 7 620 600 ₽. Способ оплаты не указан</x:v>
      </x:c>
      <x:c r="I9" s="13" t="str">
        <x:v>ГП-3; этаж 3/24</x:v>
      </x:c>
      <x:c r="J9" s="13" t="str">
        <x:v>3-комнатная</x:v>
      </x:c>
      <x:c r="K9" s="13" t="str">
        <x:v>Проверено в облачном браузере</x:v>
      </x:c>
      <x:c r="L9" s="2" t="n">
        <x:v>1</x:v>
      </x:c>
    </x:row>
    <x:row r="10" ht="69" customHeight="1">
      <x:c r="A10" s="7" t="str">
        <x:v>P009</x:v>
      </x:c>
      <x:c r="B10" s="7" t="str">
        <x:v>Мотивы</x:v>
      </x:c>
      <x:c r="C10" s="7" t="str">
        <x:v>Студия</x:v>
      </x:c>
      <x:c r="D10" s="8" t="n">
        <x:v>3502000</x:v>
      </x:c>
      <x:c r="E10" s="20" t="n">
        <x:v>21.91</x:v>
      </x:c>
      <x:c r="F10" s="12" t="str">
        <x:v>https://xn--80afahr7ap7a8g.xn--p1ai/apartments/15727869</x:v>
      </x:c>
      <x:c r="G10" s="22" t="n">
        <x:v>46327</x:v>
      </x:c>
      <x:c r="H10" s="12" t="str">
        <x:v>Лаймквартира. 4 120 000 → 3 502 000 ₽. Условия оплаты не раскрыты</x:v>
      </x:c>
      <x:c r="I10" s="12" t="str">
        <x:v>Корпус 8; этаж 7/14</x:v>
      </x:c>
      <x:c r="J10" s="12" t="str">
        <x:v>Студия</x:v>
      </x:c>
      <x:c r="K10" s="12" t="str">
        <x:v>Проверено в облачном браузере</x:v>
      </x:c>
      <x:c r="L10" s="7" t="n">
        <x:v>1</x:v>
      </x:c>
    </x:row>
    <x:row r="11" ht="69" customHeight="1">
      <x:c r="A11" s="2" t="str">
        <x:v>P010</x:v>
      </x:c>
      <x:c r="B11" s="2" t="str">
        <x:v>Мотивы</x:v>
      </x:c>
      <x:c r="C11" s="2" t="str">
        <x:v>1-комнатная</x:v>
      </x:c>
      <x:c r="D11" s="9" t="n">
        <x:v>4995000</x:v>
      </x:c>
      <x:c r="E11" s="21" t="n">
        <x:v>36.7</x:v>
      </x:c>
      <x:c r="F11" s="13" t="str">
        <x:v>https://xn--80afahr7ap7a8g.xn--p1ai/apartments/15727609</x:v>
      </x:c>
      <x:c r="G11" s="23" t="n">
        <x:v>46327</x:v>
      </x:c>
      <x:c r="H11" s="13" t="str">
        <x:v>Лаймквартира. 6 660 000 → 4 995 000 ₽. Условия оплаты не раскрыты</x:v>
      </x:c>
      <x:c r="I11" s="13" t="str">
        <x:v>Корпус 4; этаж 14/14</x:v>
      </x:c>
      <x:c r="J11" s="13" t="str">
        <x:v>1-комнатная</x:v>
      </x:c>
      <x:c r="K11" s="13" t="str">
        <x:v>Проверено в облачном браузере</x:v>
      </x:c>
      <x:c r="L11" s="2" t="n">
        <x:v>1</x:v>
      </x:c>
    </x:row>
    <x:row r="12" ht="69" customHeight="1">
      <x:c r="A12" s="7" t="str">
        <x:v>P011</x:v>
      </x:c>
      <x:c r="B12" s="7" t="str">
        <x:v>Мотивы</x:v>
      </x:c>
      <x:c r="C12" s="7" t="str">
        <x:v>2-комнатная</x:v>
      </x:c>
      <x:c r="D12" s="8" t="n">
        <x:v>6879400</x:v>
      </x:c>
      <x:c r="E12" s="20" t="n">
        <x:v>53.9</x:v>
      </x:c>
      <x:c r="F12" s="12" t="str">
        <x:v>https://xn--80afahr7ap7a8g.xn--p1ai/apartments/15726862</x:v>
      </x:c>
      <x:c r="G12" s="22" t="n">
        <x:v>46327</x:v>
      </x:c>
      <x:c r="H12" s="12" t="str">
        <x:v>Две акции на выбор. 9 460 000 → 6 879 400 ₽. Конкретная привязка цены к акции/оплате не раскрыта</x:v>
      </x:c>
      <x:c r="I12" s="12" t="str">
        <x:v>Корпус 1; этаж 12/12</x:v>
      </x:c>
      <x:c r="J12" s="12" t="str">
        <x:v>2-комнатная</x:v>
      </x:c>
      <x:c r="K12" s="12" t="str">
        <x:v>Проверено в облачном браузере</x:v>
      </x:c>
      <x:c r="L12" s="7" t="n">
        <x:v>1</x:v>
      </x:c>
    </x:row>
    <x:row r="13" ht="69" customHeight="1">
      <x:c r="A13" s="2" t="str">
        <x:v>P012</x:v>
      </x:c>
      <x:c r="B13" s="2" t="str">
        <x:v>Мотивы</x:v>
      </x:c>
      <x:c r="C13" s="2" t="str">
        <x:v>3-комнатная</x:v>
      </x:c>
      <x:c r="D13" s="9" t="n">
        <x:v>8680000</x:v>
      </x:c>
      <x:c r="E13" s="21" t="n">
        <x:v>80.02</x:v>
      </x:c>
      <x:c r="F13" s="13" t="str">
        <x:v>https://xn--80afahr7ap7a8g.xn--p1ai/apartments/15728682</x:v>
      </x:c>
      <x:c r="G13" s="23" t="n">
        <x:v>46327</x:v>
      </x:c>
      <x:c r="H13" s="13" t="str">
        <x:v>Лаймквартира. 12 400 000 → 8 680 000 ₽. Условия оплаты не раскрыты</x:v>
      </x:c>
      <x:c r="I13" s="13" t="str">
        <x:v>Корпус 6; этаж 8/14</x:v>
      </x:c>
      <x:c r="J13" s="13" t="str">
        <x:v>3-комнатная</x:v>
      </x:c>
      <x:c r="K13" s="13" t="str">
        <x:v>Проверено в облачном браузере</x:v>
      </x:c>
      <x:c r="L13" s="2" t="n">
        <x:v>1</x:v>
      </x:c>
    </x:row>
    <x:row r="14" ht="69" customHeight="1">
      <x:c r="A14" s="7" t="str">
        <x:v>P013</x:v>
      </x:c>
      <x:c r="B14" s="7" t="str">
        <x:v>Окинава</x:v>
      </x:c>
      <x:c r="C14" s="7" t="str">
        <x:v>Студия</x:v>
      </x:c>
      <x:c r="D14" s="8" t="n">
        <x:v>4200000</x:v>
      </x:c>
      <x:c r="E14" s="20" t="n">
        <x:v>24.23</x:v>
      </x:c>
      <x:c r="F14" s="12" t="str">
        <x:v>https://xn--80afahr7ap7a8g.xn--p1ai/apartments/17718023</x:v>
      </x:c>
      <x:c r="G14" s="22" t="n">
        <x:v>46327</x:v>
      </x:c>
      <x:c r="H14" s="12" t="str">
        <x:v>Лаймквартира. 5 600 000 → 4 200 000 ₽. Условия оплаты не раскрыты</x:v>
      </x:c>
      <x:c r="I14" s="12" t="str">
        <x:v>Дом Воздуха; этаж 2/13</x:v>
      </x:c>
      <x:c r="J14" s="12" t="str">
        <x:v>Студия</x:v>
      </x:c>
      <x:c r="K14" s="12" t="str">
        <x:v>Проверено в облачном браузере</x:v>
      </x:c>
      <x:c r="L14" s="7" t="n">
        <x:v>1</x:v>
      </x:c>
    </x:row>
    <x:row r="15" ht="69" customHeight="1">
      <x:c r="A15" s="2" t="str">
        <x:v>P014</x:v>
      </x:c>
      <x:c r="B15" s="2" t="str">
        <x:v>Окинава</x:v>
      </x:c>
      <x:c r="C15" s="2" t="str">
        <x:v>1-комнатная</x:v>
      </x:c>
      <x:c r="D15" s="9" t="n">
        <x:v>6451500</x:v>
      </x:c>
      <x:c r="E15" s="21" t="n">
        <x:v>37.39</x:v>
      </x:c>
      <x:c r="F15" s="13" t="str">
        <x:v>https://xn--80afahr7ap7a8g.xn--p1ai/apartments/15741350</x:v>
      </x:c>
      <x:c r="G15" s="23" t="n">
        <x:v>46327</x:v>
      </x:c>
      <x:c r="H15" s="13" t="str">
        <x:v>Лаймквартира. 7 590 000 → 6 451 500 ₽. Условия оплаты не раскрыты</x:v>
      </x:c>
      <x:c r="I15" s="13" t="str">
        <x:v>Дом Огня; этаж 2/19</x:v>
      </x:c>
      <x:c r="J15" s="13" t="str">
        <x:v>1-комнатная</x:v>
      </x:c>
      <x:c r="K15" s="13" t="str">
        <x:v>Проверено в облачном браузере</x:v>
      </x:c>
      <x:c r="L15" s="2" t="n">
        <x:v>1</x:v>
      </x:c>
    </x:row>
    <x:row r="16" ht="69" customHeight="1">
      <x:c r="A16" s="7" t="str">
        <x:v>P015</x:v>
      </x:c>
      <x:c r="B16" s="7" t="str">
        <x:v>Окинава</x:v>
      </x:c>
      <x:c r="C16" s="7" t="str">
        <x:v>2-комнатная</x:v>
      </x:c>
      <x:c r="D16" s="8" t="n">
        <x:v>8987632</x:v>
      </x:c>
      <x:c r="E16" s="20" t="n">
        <x:v>58.38</x:v>
      </x:c>
      <x:c r="F16" s="12" t="str">
        <x:v>https://xn--80afahr7ap7a8g.xn--p1ai/apartments/15740934</x:v>
      </x:c>
      <x:c r="G16" s="22" t="n">
        <x:v>46327</x:v>
      </x:c>
      <x:c r="H16" s="12" t="str">
        <x:v>Лаймквартира. 10 045 000 → 8 987 632 ₽. Условия оплаты не раскрыты</x:v>
      </x:c>
      <x:c r="I16" s="12" t="str">
        <x:v>Дом Огня; этаж 3/13</x:v>
      </x:c>
      <x:c r="J16" s="12" t="str">
        <x:v>2-комнатная</x:v>
      </x:c>
      <x:c r="K16" s="12" t="str">
        <x:v>Проверено в облачном браузере</x:v>
      </x:c>
      <x:c r="L16" s="7" t="n">
        <x:v>1</x:v>
      </x:c>
    </x:row>
    <x:row r="17" ht="69" customHeight="1">
      <x:c r="A17" s="2" t="str">
        <x:v>P016</x:v>
      </x:c>
      <x:c r="B17" s="2" t="str">
        <x:v>Окинава</x:v>
      </x:c>
      <x:c r="C17" s="2" t="str">
        <x:v>3-комнатная</x:v>
      </x:c>
      <x:c r="D17" s="9" t="n">
        <x:v>8925000</x:v>
      </x:c>
      <x:c r="E17" s="21" t="n">
        <x:v>82.15</x:v>
      </x:c>
      <x:c r="F17" s="13" t="str">
        <x:v>https://xn--80afahr7ap7a8g.xn--p1ai/apartments/17718413</x:v>
      </x:c>
      <x:c r="G17" s="23" t="n">
        <x:v>46327</x:v>
      </x:c>
      <x:c r="H17" s="13" t="str">
        <x:v>Лаймквартира. 11 900 000 → 8 925 000 ₽. Условия оплаты не раскрыты</x:v>
      </x:c>
      <x:c r="I17" s="13" t="str">
        <x:v>Дом Воздуха; этаж 2/17</x:v>
      </x:c>
      <x:c r="J17" s="13" t="str">
        <x:v>3-комнатная</x:v>
      </x:c>
      <x:c r="K17" s="13" t="str">
        <x:v>Проверено в облачном браузере</x:v>
      </x:c>
      <x:c r="L17" s="2" t="n">
        <x:v>1</x:v>
      </x:c>
    </x:row>
    <x:row r="18" ht="69" customHeight="1">
      <x:c r="A18" s="7" t="str">
        <x:v>P017</x:v>
      </x:c>
      <x:c r="B18" s="7" t="str">
        <x:v>Челюскинцев, 5</x:v>
      </x:c>
      <x:c r="C18" s="7" t="str">
        <x:v>Студия</x:v>
      </x:c>
      <x:c r="D18" s="8" t="n">
        <x:v>10140000</x:v>
      </x:c>
      <x:c r="E18" s="20" t="n">
        <x:v>23.5</x:v>
      </x:c>
      <x:c r="F18" s="12" t="str">
        <x:v>https://premium.72dom.com/?complexes=%D0%A7%D0%B5%D0%BB%D1%8E%D1%81%D0%BA%D0%B8%D0%BD%D1%86%D0%B5%D0%B2+5</x:v>
      </x:c>
      <x:c r="G18" s="22" t="n">
        <x:v>46327</x:v>
      </x:c>
      <x:c r="H18" s="12" t="str">
        <x:v>Основная цена 10 140 000 ₽. Альтернативная «Ещё бонус» 10 200 000 ₽. Каталог позднее вернул 500</x:v>
      </x:c>
      <x:c r="I18" s="12" t="str">
        <x:v>ГП-3; этаж 8</x:v>
      </x:c>
      <x:c r="J18" s="12" t="str">
        <x:v>Студия</x:v>
      </x:c>
      <x:c r="K18" s="12" t="str">
        <x:v>Карточка лота в каталоге увидена в браузере до ошибки 500</x:v>
      </x:c>
      <x:c r="L18" s="7" t="n">
        <x:v>1</x:v>
      </x:c>
    </x:row>
    <x:row r="19" ht="69" customHeight="1">
      <x:c r="A19" s="2" t="str">
        <x:v>P018</x:v>
      </x:c>
      <x:c r="B19" s="2" t="str">
        <x:v>Челюскинцев, 5</x:v>
      </x:c>
      <x:c r="C19" s="2" t="str">
        <x:v>2-комнатная</x:v>
      </x:c>
      <x:c r="D19" s="9" t="n">
        <x:v>13680000</x:v>
      </x:c>
      <x:c r="E19" s="21" t="n">
        <x:v>38.1</x:v>
      </x:c>
      <x:c r="F19" s="13" t="str">
        <x:v>https://premium.72dom.com/?complexes=%D0%A7%D0%B5%D0%BB%D1%8E%D1%81%D0%BA%D0%B8%D0%BD%D1%86%D0%B5%D0%B2+5</x:v>
      </x:c>
      <x:c r="G19" s="23" t="n">
        <x:v>46327</x:v>
      </x:c>
      <x:c r="H19" s="13" t="str">
        <x:v>Цена «Ещё бонус» 13 680 000 ₽; основная цена 13 710 000 ₽. Условия программы не раскрыты. Каталог позднее вернул 500</x:v>
      </x:c>
      <x:c r="I19" s="13" t="str">
        <x:v>ГП-1; этаж 3</x:v>
      </x:c>
      <x:c r="J19" s="13" t="str">
        <x:v>Евродвухкомнатная (2Е)</x:v>
      </x:c>
      <x:c r="K19" s="13" t="str">
        <x:v>Карточка лота в каталоге увидена в браузере до ошибки 500</x:v>
      </x:c>
      <x:c r="L19" s="2" t="n">
        <x:v>1</x:v>
      </x:c>
    </x:row>
    <x:row r="20" ht="69" customHeight="1">
      <x:c r="A20" s="7" t="str">
        <x:v>P019</x:v>
      </x:c>
      <x:c r="B20" s="7" t="str">
        <x:v>Добро на ДОКе</x:v>
      </x:c>
      <x:c r="C20" s="7" t="str">
        <x:v>1-комнатная</x:v>
      </x:c>
      <x:c r="D20" s="8" t="n">
        <x:v>4900000</x:v>
      </x:c>
      <x:c r="E20" s="20" t="n">
        <x:v>35</x:v>
      </x:c>
      <x:c r="F20" s="12" t="str">
        <x:v>https://gkinko.ru/kvartiry/odnokomnatnaya-35-kv-m-7309983</x:v>
      </x:c>
      <x:c r="G20" s="22" t="n">
        <x:v>46327</x:v>
      </x:c>
      <x:c r="H20" s="12" t="str">
        <x:v>Отображённая цена в официальном каталоге; отдельные условия оплаты не указаны</x:v>
      </x:c>
      <x:c r="I20" s="12" t="str">
        <x:v>№334; этаж 3/19</x:v>
      </x:c>
      <x:c r="J20" s="12" t="str">
        <x:v>1-комнатная</x:v>
      </x:c>
      <x:c r="K20" s="12" t="str">
        <x:v>Проверено в облачном браузере</x:v>
      </x:c>
      <x:c r="L20" s="7" t="n">
        <x:v>1</x:v>
      </x:c>
    </x:row>
    <x:row r="21" ht="69" customHeight="1">
      <x:c r="A21" s="2" t="str">
        <x:v>P020</x:v>
      </x:c>
      <x:c r="B21" s="2" t="str">
        <x:v>Добро на ДОКе</x:v>
      </x:c>
      <x:c r="C21" s="2" t="str">
        <x:v>2-комнатная</x:v>
      </x:c>
      <x:c r="D21" s="9" t="n">
        <x:v>6500000</x:v>
      </x:c>
      <x:c r="E21" s="21" t="n">
        <x:v>50.7</x:v>
      </x:c>
      <x:c r="F21" s="13" t="str">
        <x:v>https://gkinko.ru/kvartiry/dvuhkomnatnaya-50-7-kv-m-7309973</x:v>
      </x:c>
      <x:c r="G21" s="23" t="n">
        <x:v>46327</x:v>
      </x:c>
      <x:c r="H21" s="13" t="str">
        <x:v>Отображённая цена в официальном каталоге; отдельные условия оплаты не указаны</x:v>
      </x:c>
      <x:c r="I21" s="13" t="str">
        <x:v>№324; этаж 2/19</x:v>
      </x:c>
      <x:c r="J21" s="13" t="str">
        <x:v>2-комнатная</x:v>
      </x:c>
      <x:c r="K21" s="13" t="str">
        <x:v>Проверено в облачном браузере</x:v>
      </x:c>
      <x:c r="L21" s="2" t="n">
        <x:v>1</x:v>
      </x:c>
    </x:row>
    <x:row r="22" ht="69" customHeight="1">
      <x:c r="A22" s="7" t="str">
        <x:v>P021</x:v>
      </x:c>
      <x:c r="B22" s="7" t="str">
        <x:v>Добро на ДОКе</x:v>
      </x:c>
      <x:c r="C22" s="7" t="str">
        <x:v>3-комнатная</x:v>
      </x:c>
      <x:c r="D22" s="8" t="n">
        <x:v>8725000</x:v>
      </x:c>
      <x:c r="E22" s="20" t="n">
        <x:v>72</x:v>
      </x:c>
      <x:c r="F22" s="12" t="str">
        <x:v>https://gkinko.ru/kvartiry/trekhkomnatnaya-72-kv-m-7309860</x:v>
      </x:c>
      <x:c r="G22" s="22" t="n">
        <x:v>46327</x:v>
      </x:c>
      <x:c r="H22" s="12" t="str">
        <x:v>Отображённая цена в официальном каталоге; отдельные условия оплаты не указаны</x:v>
      </x:c>
      <x:c r="I22" s="12" t="str">
        <x:v>Этаж 2/15</x:v>
      </x:c>
      <x:c r="J22" s="12" t="str">
        <x:v>3-комнатная</x:v>
      </x:c>
      <x:c r="K22" s="12" t="str">
        <x:v>Проверено в облачном браузере</x:v>
      </x:c>
      <x:c r="L22" s="7" t="n">
        <x:v>1</x:v>
      </x:c>
    </x:row>
    <x:row r="23" ht="69" customHeight="1">
      <x:c r="A23" s="2" t="str">
        <x:v>P022</x:v>
      </x:c>
      <x:c r="B23" s="2" t="str">
        <x:v>Футуро</x:v>
      </x:c>
      <x:c r="C23" s="2" t="str">
        <x:v>1-комнатная</x:v>
      </x:c>
      <x:c r="D23" s="9" t="n">
        <x:v>8510000</x:v>
      </x:c>
      <x:c r="E23" s="21" t="n">
        <x:v>37.1</x:v>
      </x:c>
      <x:c r="F23" s="13" t="str">
        <x:v>https://newton.ru/flats/12827300</x:v>
      </x:c>
      <x:c r="G23" s="23" t="n">
        <x:v>46327</x:v>
      </x:c>
      <x:c r="H23" s="13" t="str">
        <x:v>Основная цена. Теги: трейд-ин, добавляем на ПВ, ипотека 11,5%. Обязательность этих программ для цены не указана</x:v>
      </x:c>
      <x:c r="I23" s="13" t="str">
        <x:v>Артикул 1.20.1; этаж 20</x:v>
      </x:c>
      <x:c r="J23" s="13" t="str">
        <x:v>1-комнатная</x:v>
      </x:c>
      <x:c r="K23" s="13" t="str">
        <x:v>Проверено в облачном браузере</x:v>
      </x:c>
      <x:c r="L23" s="2" t="n">
        <x:v>1</x:v>
      </x:c>
    </x:row>
    <x:row r="24" ht="69" customHeight="1">
      <x:c r="A24" s="7" t="str">
        <x:v>P023</x:v>
      </x:c>
      <x:c r="B24" s="7" t="str">
        <x:v>Футуро</x:v>
      </x:c>
      <x:c r="C24" s="7" t="str">
        <x:v>2-комнатная</x:v>
      </x:c>
      <x:c r="D24" s="8" t="n">
        <x:v>9310000</x:v>
      </x:c>
      <x:c r="E24" s="20" t="n">
        <x:v>62.9</x:v>
      </x:c>
      <x:c r="F24" s="12" t="str">
        <x:v>https://newton.ru/flats/12843349</x:v>
      </x:c>
      <x:c r="G24" s="22" t="n">
        <x:v>46327</x:v>
      </x:c>
      <x:c r="H24" s="12" t="str">
        <x:v>Основная цена. Теги: трейд-ин, добавляем на ПВ, ипотека 11,5%. Привязка цены к программам не указана</x:v>
      </x:c>
      <x:c r="I24" s="12" t="str">
        <x:v>Артикул 2.9.4; этаж 9</x:v>
      </x:c>
      <x:c r="J24" s="12" t="str">
        <x:v>2-комнатная</x:v>
      </x:c>
      <x:c r="K24" s="12" t="str">
        <x:v>Проверено в облачном браузере</x:v>
      </x:c>
      <x:c r="L24" s="7" t="n">
        <x:v>1</x:v>
      </x:c>
    </x:row>
    <x:row r="25" ht="69" customHeight="1">
      <x:c r="A25" s="2" t="str">
        <x:v>P024</x:v>
      </x:c>
      <x:c r="B25" s="2" t="str">
        <x:v>Футуро</x:v>
      </x:c>
      <x:c r="C25" s="2" t="str">
        <x:v>3-комнатная</x:v>
      </x:c>
      <x:c r="D25" s="9" t="n">
        <x:v>11400000</x:v>
      </x:c>
      <x:c r="E25" s="21" t="n">
        <x:v>80.6</x:v>
      </x:c>
      <x:c r="F25" s="13" t="str">
        <x:v>https://newton.ru/flats/12827241</x:v>
      </x:c>
      <x:c r="G25" s="23" t="n">
        <x:v>46327</x:v>
      </x:c>
      <x:c r="H25" s="13" t="str">
        <x:v>Снижение с 13 490 000 до 11 400 000 ₽. Условия скидки не раскрыты</x:v>
      </x:c>
      <x:c r="I25" s="13" t="str">
        <x:v>Артикул 1.13.3; этаж 13</x:v>
      </x:c>
      <x:c r="J25" s="13" t="str">
        <x:v>3-комнатная</x:v>
      </x:c>
      <x:c r="K25" s="13" t="str">
        <x:v>Проверено в облачном браузере</x:v>
      </x:c>
      <x:c r="L25" s="2" t="n">
        <x:v>1</x:v>
      </x:c>
    </x:row>
    <x:row r="26" ht="69" customHeight="1">
      <x:c r="A26" s="7" t="str">
        <x:v>P025</x:v>
      </x:c>
      <x:c r="B26" s="7" t="str">
        <x:v>Айвазовский</x:v>
      </x:c>
      <x:c r="C26" s="7" t="str">
        <x:v>Студия</x:v>
      </x:c>
      <x:c r="D26" s="8" t="n">
        <x:v>5638440</x:v>
      </x:c>
      <x:c r="E26" s="20" t="n">
        <x:v>28</x:v>
      </x:c>
      <x:c r="F26" s="12" t="str">
        <x:v>https://enco.ru/search/apartments/50398/</x:v>
      </x:c>
      <x:c r="G26" s="22" t="n">
        <x:v>46327</x:v>
      </x:c>
      <x:c r="H26" s="12" t="str">
        <x:v>100% оплата. Снижение с 7 517 920 до 5 638 440 ₽</x:v>
      </x:c>
      <x:c r="I26" s="12" t="str">
        <x:v>№61; ГП-7, секция 7.3, этаж 10</x:v>
      </x:c>
      <x:c r="J26" s="12" t="str">
        <x:v>Студия</x:v>
      </x:c>
      <x:c r="K26" s="12" t="str">
        <x:v>Проверено в облачном браузере</x:v>
      </x:c>
      <x:c r="L26" s="7" t="n">
        <x:v>1</x:v>
      </x:c>
    </x:row>
    <x:row r="27" ht="69" customHeight="1">
      <x:c r="A27" s="2" t="str">
        <x:v>P026</x:v>
      </x:c>
      <x:c r="B27" s="2" t="str">
        <x:v>Айвазовский</x:v>
      </x:c>
      <x:c r="C27" s="2" t="str">
        <x:v>1-комнатная</x:v>
      </x:c>
      <x:c r="D27" s="9" t="n">
        <x:v>6739152</x:v>
      </x:c>
      <x:c r="E27" s="21" t="n">
        <x:v>31.92</x:v>
      </x:c>
      <x:c r="F27" s="13" t="str">
        <x:v>https://enco.ru/search/apartments/78828/</x:v>
      </x:c>
      <x:c r="G27" s="23" t="n">
        <x:v>46327</x:v>
      </x:c>
      <x:c r="H27" s="13" t="str">
        <x:v>100% оплата. Снижение с 7 246 400 до 6 739 152 ₽</x:v>
      </x:c>
      <x:c r="I27" s="13" t="str">
        <x:v>№27; ГП-12, секция 2, этаж 5</x:v>
      </x:c>
      <x:c r="J27" s="13" t="str">
        <x:v>1-комнатная</x:v>
      </x:c>
      <x:c r="K27" s="13" t="str">
        <x:v>Проверено в облачном браузере</x:v>
      </x:c>
      <x:c r="L27" s="2" t="n">
        <x:v>1</x:v>
      </x:c>
    </x:row>
    <x:row r="28" ht="69" customHeight="1">
      <x:c r="A28" s="7" t="str">
        <x:v>P027</x:v>
      </x:c>
      <x:c r="B28" s="7" t="str">
        <x:v>Айвазовский</x:v>
      </x:c>
      <x:c r="C28" s="7" t="str">
        <x:v>2-комнатная</x:v>
      </x:c>
      <x:c r="D28" s="8" t="n">
        <x:v>8978220</x:v>
      </x:c>
      <x:c r="E28" s="20" t="n">
        <x:v>52.31</x:v>
      </x:c>
      <x:c r="F28" s="12" t="str">
        <x:v>https://enco.ru/search/apartments/78985/</x:v>
      </x:c>
      <x:c r="G28" s="22" t="n">
        <x:v>46327</x:v>
      </x:c>
      <x:c r="H28" s="12" t="str">
        <x:v>100% оплата. Снижение с 9 654 000 до 8 978 220 ₽</x:v>
      </x:c>
      <x:c r="I28" s="12" t="str">
        <x:v>№236; ГП-13, секция 3, этаж 3</x:v>
      </x:c>
      <x:c r="J28" s="12" t="str">
        <x:v>2-комнатная</x:v>
      </x:c>
      <x:c r="K28" s="12" t="str">
        <x:v>Проверено в облачном браузере</x:v>
      </x:c>
      <x:c r="L28" s="7" t="n">
        <x:v>1</x:v>
      </x:c>
    </x:row>
    <x:row r="29" ht="69" customHeight="1">
      <x:c r="A29" s="2" t="str">
        <x:v>P028</x:v>
      </x:c>
      <x:c r="B29" s="2" t="str">
        <x:v>Айвазовский</x:v>
      </x:c>
      <x:c r="C29" s="2" t="str">
        <x:v>3-комнатная</x:v>
      </x:c>
      <x:c r="D29" s="9" t="n">
        <x:v>9738900</x:v>
      </x:c>
      <x:c r="E29" s="21" t="n">
        <x:v>67.17</x:v>
      </x:c>
      <x:c r="F29" s="13" t="str">
        <x:v>https://enco.ru/search/apartments/78851/</x:v>
      </x:c>
      <x:c r="G29" s="23" t="n">
        <x:v>46327</x:v>
      </x:c>
      <x:c r="H29" s="13" t="str">
        <x:v>100% оплата. Снижение с 10 821 000 до 9 738 900 ₽</x:v>
      </x:c>
      <x:c r="I29" s="13" t="str">
        <x:v>№12; ГП-12, секция 2, этаж 2</x:v>
      </x:c>
      <x:c r="J29" s="13" t="str">
        <x:v>3-комнатная</x:v>
      </x:c>
      <x:c r="K29" s="13" t="str">
        <x:v>Проверено в облачном браузере</x:v>
      </x:c>
      <x:c r="L29" s="2" t="n">
        <x:v>1</x:v>
      </x:c>
    </x:row>
    <x:row r="30" ht="69" customHeight="1">
      <x:c r="A30" s="7" t="str">
        <x:v>P029</x:v>
      </x:c>
      <x:c r="B30" s="7" t="str">
        <x:v>Айвазовский</x:v>
      </x:c>
      <x:c r="C30" s="7" t="str">
        <x:v>4-комнатная</x:v>
      </x:c>
      <x:c r="D30" s="8" t="n">
        <x:v>32504000</x:v>
      </x:c>
      <x:c r="E30" s="20" t="n">
        <x:v>147.63</x:v>
      </x:c>
      <x:c r="F30" s="12" t="str">
        <x:v>https://enco.ru/search/apartments/78877/</x:v>
      </x:c>
      <x:c r="G30" s="22" t="n">
        <x:v>46327</x:v>
      </x:c>
      <x:c r="H30" s="12" t="str">
        <x:v>Основная цена; условие скидки не отображено</x:v>
      </x:c>
      <x:c r="I30" s="12" t="str">
        <x:v>№35; ГП-13, секция 1, этаж 8</x:v>
      </x:c>
      <x:c r="J30" s="12" t="str">
        <x:v>4-комнатная</x:v>
      </x:c>
      <x:c r="K30" s="12" t="str">
        <x:v>Проверено в облачном браузере</x:v>
      </x:c>
      <x:c r="L30" s="7" t="n">
        <x:v>1</x:v>
      </x:c>
    </x:row>
    <x:row r="31" ht="69" customHeight="1">
      <x:c r="A31" s="2" t="str">
        <x:v>P030</x:v>
      </x:c>
      <x:c r="B31" s="2" t="str">
        <x:v>Прео</x:v>
      </x:c>
      <x:c r="C31" s="2" t="str">
        <x:v>Студия</x:v>
      </x:c>
      <x:c r="D31" s="9" t="n">
        <x:v>4712403</x:v>
      </x:c>
      <x:c r="E31" s="21" t="n">
        <x:v>32.77</x:v>
      </x:c>
      <x:c r="F31" s="13" t="str">
        <x:v>https://enco.ru/search/apartments/54409/</x:v>
      </x:c>
      <x:c r="G31" s="23" t="n">
        <x:v>46327</x:v>
      </x:c>
      <x:c r="H31" s="13" t="str">
        <x:v>100% оплата. Снижение с 6 283 203 до 4 712 403 ₽</x:v>
      </x:c>
      <x:c r="I31" s="13" t="str">
        <x:v>№63; ГП-72.208, секция 1, этаж 9</x:v>
      </x:c>
      <x:c r="J31" s="13" t="str">
        <x:v>Студия</x:v>
      </x:c>
      <x:c r="K31" s="13" t="str">
        <x:v>Проверено в облачном браузере</x:v>
      </x:c>
      <x:c r="L31" s="2" t="n">
        <x:v>1</x:v>
      </x:c>
    </x:row>
    <x:row r="32" ht="69" customHeight="1">
      <x:c r="A32" s="7" t="str">
        <x:v>P031</x:v>
      </x:c>
      <x:c r="B32" s="7" t="str">
        <x:v>Прео</x:v>
      </x:c>
      <x:c r="C32" s="7" t="str">
        <x:v>1-комнатная</x:v>
      </x:c>
      <x:c r="D32" s="8" t="n">
        <x:v>5406876</x:v>
      </x:c>
      <x:c r="E32" s="20" t="n">
        <x:v>38.43</x:v>
      </x:c>
      <x:c r="F32" s="12" t="str">
        <x:v>https://enco.ru/search/apartments/53720/</x:v>
      </x:c>
      <x:c r="G32" s="22" t="n">
        <x:v>46327</x:v>
      </x:c>
      <x:c r="H32" s="12" t="str">
        <x:v>100% оплата. Снижение с 7 209 168 до 5 406 876 ₽</x:v>
      </x:c>
      <x:c r="I32" s="12" t="str">
        <x:v>№76; ГП-72.206, секция 1, этаж 11</x:v>
      </x:c>
      <x:c r="J32" s="12" t="str">
        <x:v>1-комнатная</x:v>
      </x:c>
      <x:c r="K32" s="12" t="str">
        <x:v>Проверено в облачном браузере</x:v>
      </x:c>
      <x:c r="L32" s="7" t="n">
        <x:v>1</x:v>
      </x:c>
    </x:row>
    <x:row r="33" ht="69" customHeight="1">
      <x:c r="A33" s="2" t="str">
        <x:v>P032</x:v>
      </x:c>
      <x:c r="B33" s="2" t="str">
        <x:v>Прео</x:v>
      </x:c>
      <x:c r="C33" s="2" t="str">
        <x:v>2-комнатная</x:v>
      </x:c>
      <x:c r="D33" s="9" t="n">
        <x:v>7338713</x:v>
      </x:c>
      <x:c r="E33" s="21" t="n">
        <x:v>58.43</x:v>
      </x:c>
      <x:c r="F33" s="13" t="str">
        <x:v>https://enco.ru/search/apartments/79820/</x:v>
      </x:c>
      <x:c r="G33" s="23" t="n">
        <x:v>46327</x:v>
      </x:c>
      <x:c r="H33" s="13" t="str">
        <x:v>100% оплата. Снижение с 8 154 125 до 7 338 713 ₽</x:v>
      </x:c>
      <x:c r="I33" s="13" t="str">
        <x:v>№1; ГП-72.215, секция 1, этаж 1</x:v>
      </x:c>
      <x:c r="J33" s="13" t="str">
        <x:v>2-комнатная</x:v>
      </x:c>
      <x:c r="K33" s="13" t="str">
        <x:v>Проверено в облачном браузере</x:v>
      </x:c>
      <x:c r="L33" s="2" t="n">
        <x:v>1</x:v>
      </x:c>
    </x:row>
    <x:row r="34" ht="69" customHeight="1">
      <x:c r="A34" s="7" t="str">
        <x:v>P033</x:v>
      </x:c>
      <x:c r="B34" s="7" t="str">
        <x:v>Прео</x:v>
      </x:c>
      <x:c r="C34" s="7" t="str">
        <x:v>3-комнатная</x:v>
      </x:c>
      <x:c r="D34" s="8" t="n">
        <x:v>9992340</x:v>
      </x:c>
      <x:c r="E34" s="20" t="n">
        <x:v>75.58</x:v>
      </x:c>
      <x:c r="F34" s="12" t="str">
        <x:v>https://enco.ru/search/apartments/67236/</x:v>
      </x:c>
      <x:c r="G34" s="22" t="n">
        <x:v>46327</x:v>
      </x:c>
      <x:c r="H34" s="12" t="str">
        <x:v>100% оплата. Снижение с 11 102 600 до 9 992 340 ₽</x:v>
      </x:c>
      <x:c r="I34" s="12" t="str">
        <x:v>№391; ГП-72.211, секция 3, этаж 14</x:v>
      </x:c>
      <x:c r="J34" s="12" t="str">
        <x:v>3-комнатная</x:v>
      </x:c>
      <x:c r="K34" s="12" t="str">
        <x:v>Проверено в облачном браузере</x:v>
      </x:c>
      <x:c r="L34" s="7" t="n">
        <x:v>1</x:v>
      </x:c>
    </x:row>
    <x:row r="35" ht="69" customHeight="1">
      <x:c r="A35" s="2" t="str">
        <x:v>P034</x:v>
      </x:c>
      <x:c r="B35" s="2" t="str">
        <x:v>Фатера</x:v>
      </x:c>
      <x:c r="C35" s="2" t="str">
        <x:v>Студия</x:v>
      </x:c>
      <x:c r="D35" s="9" t="n">
        <x:v>5599327</x:v>
      </x:c>
      <x:c r="E35" s="21" t="n">
        <x:v>29.03</x:v>
      </x:c>
      <x:c r="F35" s="13" t="str">
        <x:v>https://xn--80aapt2admt.xn--p1ai/catalog/apartments/a19836df-a224-4e14-8049-3f7cdf5e4dd9</x:v>
      </x:c>
      <x:c r="G35" s="23" t="n">
        <x:v>46327</x:v>
      </x:c>
      <x:c r="H35" s="13" t="str">
        <x:v>Цена в каталоге; условия оплаты не раскрыты</x:v>
      </x:c>
      <x:c r="I35" s="13" t="str">
        <x:v>№242; корпус 3, этаж 2/24</x:v>
      </x:c>
      <x:c r="J35" s="13" t="str">
        <x:v>Студия</x:v>
      </x:c>
      <x:c r="K35" s="13" t="str">
        <x:v>Проверено в облачном браузере</x:v>
      </x:c>
      <x:c r="L35" s="2" t="n">
        <x:v>1</x:v>
      </x:c>
    </x:row>
    <x:row r="36" ht="69" customHeight="1">
      <x:c r="A36" s="7" t="str">
        <x:v>P035</x:v>
      </x:c>
      <x:c r="B36" s="7" t="str">
        <x:v>Фатера</x:v>
      </x:c>
      <x:c r="C36" s="7" t="str">
        <x:v>1-комнатная</x:v>
      </x:c>
      <x:c r="D36" s="8" t="n">
        <x:v>5508500</x:v>
      </x:c>
      <x:c r="E36" s="20" t="n">
        <x:v>32.46</x:v>
      </x:c>
      <x:c r="F36" s="12" t="str">
        <x:v>https://xn--80aapt2admt.xn--p1ai/catalog/apartments/a049058b-8840-42ba-9a98-d86847c6a0d7</x:v>
      </x:c>
      <x:c r="G36" s="22" t="n">
        <x:v>46327</x:v>
      </x:c>
      <x:c r="H36" s="12" t="str">
        <x:v>Цена в каталоге; условия оплаты не раскрыты</x:v>
      </x:c>
      <x:c r="I36" s="12" t="str">
        <x:v>№238; корпус 1, этаж 21/24</x:v>
      </x:c>
      <x:c r="J36" s="12" t="str">
        <x:v>1-комнатная</x:v>
      </x:c>
      <x:c r="K36" s="12" t="str">
        <x:v>Проверено в облачном браузере</x:v>
      </x:c>
      <x:c r="L36" s="7" t="n">
        <x:v>1</x:v>
      </x:c>
    </x:row>
    <x:row r="37" ht="69" customHeight="1">
      <x:c r="A37" s="2" t="str">
        <x:v>P036</x:v>
      </x:c>
      <x:c r="B37" s="2" t="str">
        <x:v>Фатера</x:v>
      </x:c>
      <x:c r="C37" s="2" t="str">
        <x:v>2-комнатная</x:v>
      </x:c>
      <x:c r="D37" s="9" t="n">
        <x:v>7306387</x:v>
      </x:c>
      <x:c r="E37" s="21" t="n">
        <x:v>49.63</x:v>
      </x:c>
      <x:c r="F37" s="13" t="str">
        <x:v>https://xn--80aapt2admt.xn--p1ai/catalog/apartments/a19836e4-3e51-471a-9c62-520aac71bc23</x:v>
      </x:c>
      <x:c r="G37" s="23" t="n">
        <x:v>46327</x:v>
      </x:c>
      <x:c r="H37" s="13" t="str">
        <x:v>Цена в каталоге; условия оплаты не раскрыты</x:v>
      </x:c>
      <x:c r="I37" s="13" t="str">
        <x:v>№402; корпус 4, этаж 2/24</x:v>
      </x:c>
      <x:c r="J37" s="13" t="str">
        <x:v>2-комнатная</x:v>
      </x:c>
      <x:c r="K37" s="13" t="str">
        <x:v>Проверено в облачном браузере</x:v>
      </x:c>
      <x:c r="L37" s="2" t="n">
        <x:v>1</x:v>
      </x:c>
    </x:row>
    <x:row r="38" ht="69" customHeight="1">
      <x:c r="A38" s="7" t="str">
        <x:v>P037</x:v>
      </x:c>
      <x:c r="B38" s="7" t="str">
        <x:v>Фатера</x:v>
      </x:c>
      <x:c r="C38" s="7" t="str">
        <x:v>3-комнатная</x:v>
      </x:c>
      <x:c r="D38" s="8" t="n">
        <x:v>9831350</x:v>
      </x:c>
      <x:c r="E38" s="20" t="n">
        <x:v>83.65</x:v>
      </x:c>
      <x:c r="F38" s="12" t="str">
        <x:v>https://xn--80aapt2admt.xn--p1ai/catalog/apartments/a285d7ff-e87d-43a7-ace2-9b0a32c03976</x:v>
      </x:c>
      <x:c r="G38" s="22" t="n">
        <x:v>46327</x:v>
      </x:c>
      <x:c r="H38" s="12" t="str">
        <x:v>Цена в каталоге; условия оплаты не раскрыты</x:v>
      </x:c>
      <x:c r="I38" s="12" t="str">
        <x:v>№25; корпус 1, этаж 3/24</x:v>
      </x:c>
      <x:c r="J38" s="12" t="str">
        <x:v>3-комнатная</x:v>
      </x:c>
      <x:c r="K38" s="12" t="str">
        <x:v>Проверено в облачном браузере</x:v>
      </x:c>
      <x:c r="L38" s="7" t="n">
        <x:v>1</x:v>
      </x:c>
    </x:row>
    <x:row r="39" ht="69" customHeight="1">
      <x:c r="A39" s="2" t="str">
        <x:v>P038</x:v>
      </x:c>
      <x:c r="B39" s="2" t="str">
        <x:v>Домашний</x:v>
      </x:c>
      <x:c r="C39" s="2" t="str">
        <x:v>Студия</x:v>
      </x:c>
      <x:c r="D39" s="9" t="n">
        <x:v>4090000</x:v>
      </x:c>
      <x:c r="E39" s="21" t="n">
        <x:v>20.84</x:v>
      </x:c>
      <x:c r="F39" s="13" t="str">
        <x:v>https://strana.com/tmn/domashnyi/flats/14027973/</x:v>
      </x:c>
      <x:c r="G39" s="23" t="n">
        <x:v>46327</x:v>
      </x:c>
      <x:c r="H39" s="13" t="str">
        <x:v>100% оплата, скидка 5%. На карточке также есть ипотечный вариант с той же скидкой; рассрочка рассчитывается отдельно</x:v>
      </x:c>
      <x:c r="I39" s="13" t="str">
        <x:v>№187; Дом Экологичный, секция 2, этаж 11/13</x:v>
      </x:c>
      <x:c r="J39" s="13" t="str">
        <x:v>Студия</x:v>
      </x:c>
      <x:c r="K39" s="13" t="str">
        <x:v>Проверено в облачном браузере</x:v>
      </x:c>
      <x:c r="L39" s="2" t="n">
        <x:v>1</x:v>
      </x:c>
    </x:row>
    <x:row r="40" ht="69" customHeight="1">
      <x:c r="A40" s="7" t="str">
        <x:v>P039</x:v>
      </x:c>
      <x:c r="B40" s="7" t="str">
        <x:v>Домашний</x:v>
      </x:c>
      <x:c r="C40" s="7" t="str">
        <x:v>1-комнатная</x:v>
      </x:c>
      <x:c r="D40" s="8" t="n">
        <x:v>5300000</x:v>
      </x:c>
      <x:c r="E40" s="20" t="n">
        <x:v>28.49</x:v>
      </x:c>
      <x:c r="F40" s="12" t="str">
        <x:v>https://strana.com/tmn/domashnyi/flats/14347441/</x:v>
      </x:c>
      <x:c r="G40" s="22" t="n">
        <x:v>46327</x:v>
      </x:c>
      <x:c r="H40" s="12" t="str">
        <x:v>100% оплата, скидка 5%. На карточке также есть ипотечный вариант с той же скидкой; рассрочка рассчитывается отдельно</x:v>
      </x:c>
      <x:c r="I40" s="12" t="str">
        <x:v>№111; Дом Процветающий, секция 1, этаж 13/15</x:v>
      </x:c>
      <x:c r="J40" s="12" t="str">
        <x:v>1-комнатная</x:v>
      </x:c>
      <x:c r="K40" s="12" t="str">
        <x:v>Проверено в облачном браузере</x:v>
      </x:c>
      <x:c r="L40" s="7" t="n">
        <x:v>1</x:v>
      </x:c>
    </x:row>
    <x:row r="41" ht="69" customHeight="1">
      <x:c r="A41" s="2" t="str">
        <x:v>P040</x:v>
      </x:c>
      <x:c r="B41" s="2" t="str">
        <x:v>Домашний</x:v>
      </x:c>
      <x:c r="C41" s="2" t="str">
        <x:v>2-комнатная</x:v>
      </x:c>
      <x:c r="D41" s="9" t="n">
        <x:v>5450000</x:v>
      </x:c>
      <x:c r="E41" s="21" t="n">
        <x:v>30.3</x:v>
      </x:c>
      <x:c r="F41" s="13" t="str">
        <x:v>https://strana.com/tmn/domashnyi/flats/14896550/</x:v>
      </x:c>
      <x:c r="G41" s="23" t="n">
        <x:v>46327</x:v>
      </x:c>
      <x:c r="H41" s="13" t="str">
        <x:v>100% оплата, скидка 5%. На карточке также есть ипотечный вариант с той же скидкой; рассрочка рассчитывается отдельно</x:v>
      </x:c>
      <x:c r="I41" s="13" t="str">
        <x:v>№271; Дом Технологичный, секция 3, этаж 15/15</x:v>
      </x:c>
      <x:c r="J41" s="13" t="str">
        <x:v>2-комнатная (европланировка)</x:v>
      </x:c>
      <x:c r="K41" s="13" t="str">
        <x:v>Проверено в облачном браузере</x:v>
      </x:c>
      <x:c r="L41" s="2" t="n">
        <x:v>1</x:v>
      </x:c>
    </x:row>
    <x:row r="42" ht="69" customHeight="1">
      <x:c r="A42" s="7" t="str">
        <x:v>P041</x:v>
      </x:c>
      <x:c r="B42" s="7" t="str">
        <x:v>Домашний</x:v>
      </x:c>
      <x:c r="C42" s="7" t="str">
        <x:v>3-комнатная</x:v>
      </x:c>
      <x:c r="D42" s="8" t="n">
        <x:v>7663000</x:v>
      </x:c>
      <x:c r="E42" s="20" t="n">
        <x:v>47.11</x:v>
      </x:c>
      <x:c r="F42" s="12" t="str">
        <x:v>https://strana.com/tmn/domashnyi/flats/14347838/</x:v>
      </x:c>
      <x:c r="G42" s="22" t="n">
        <x:v>46327</x:v>
      </x:c>
      <x:c r="H42" s="12" t="str">
        <x:v>100% оплата, скидка 12%. На карточке также есть ипотечный вариант с той же скидкой; рассрочка рассчитывается отдельно</x:v>
      </x:c>
      <x:c r="I42" s="12" t="str">
        <x:v>№33; Дом Инновационный, секция 1, этаж 5/15</x:v>
      </x:c>
      <x:c r="J42" s="12" t="str">
        <x:v>3-комнатная (европланировка)</x:v>
      </x:c>
      <x:c r="K42" s="12" t="str">
        <x:v>Проверено в облачном браузере</x:v>
      </x:c>
      <x:c r="L42" s="7" t="n">
        <x:v>1</x:v>
      </x:c>
    </x:row>
    <x:row r="43" ht="69" customHeight="1">
      <x:c r="A43" s="2" t="str">
        <x:v>P042</x:v>
      </x:c>
      <x:c r="B43" s="2" t="str">
        <x:v>Домашний</x:v>
      </x:c>
      <x:c r="C43" s="2" t="str">
        <x:v>4-комнатная</x:v>
      </x:c>
      <x:c r="D43" s="9" t="n">
        <x:v>10910000</x:v>
      </x:c>
      <x:c r="E43" s="21" t="n">
        <x:v>79.18</x:v>
      </x:c>
      <x:c r="F43" s="13" t="str">
        <x:v>https://strana.com/tmn/domashnyi/flats/14078436/</x:v>
      </x:c>
      <x:c r="G43" s="23" t="n">
        <x:v>46327</x:v>
      </x:c>
      <x:c r="H43" s="13" t="str">
        <x:v>100% оплата, скидка 5%. На карточке также есть ипотечный вариант с той же скидкой; рассрочка рассчитывается отдельно</x:v>
      </x:c>
      <x:c r="I43" s="13" t="str">
        <x:v>№416; Дом Креативный, секция 3, этаж 13/15</x:v>
      </x:c>
      <x:c r="J43" s="13" t="str">
        <x:v>4-комнатная (европланировка)</x:v>
      </x:c>
      <x:c r="K43" s="13" t="str">
        <x:v>Проверено в облачном браузере</x:v>
      </x:c>
      <x:c r="L43" s="2" t="n">
        <x:v>1</x:v>
      </x:c>
    </x:row>
    <x:row r="44" ht="69" customHeight="1">
      <x:c r="A44" s="7" t="str">
        <x:v>P043</x:v>
      </x:c>
      <x:c r="B44" s="7" t="str">
        <x:v>Сердце Сибири</x:v>
      </x:c>
      <x:c r="C44" s="7" t="str">
        <x:v>Студия</x:v>
      </x:c>
      <x:c r="D44" s="8" t="n">
        <x:v>5349000</x:v>
      </x:c>
      <x:c r="E44" s="20" t="n">
        <x:v>29.89</x:v>
      </x:c>
      <x:c r="F44" s="12" t="str">
        <x:v>https://strana.com/tmn/serdtche-sibiri/flats/14938321/</x:v>
      </x:c>
      <x:c r="G44" s="22" t="n">
        <x:v>46327</x:v>
      </x:c>
      <x:c r="H44" s="12" t="str">
        <x:v>100% оплата, скидка 17%. На карточке также есть ипотечный вариант с той же скидкой; рассрочка рассчитывается отдельно</x:v>
      </x:c>
      <x:c r="I44" s="12" t="str">
        <x:v>№92; Квартал Инженеров, секция 1, этаж 10/25</x:v>
      </x:c>
      <x:c r="J44" s="12" t="str">
        <x:v>Студия</x:v>
      </x:c>
      <x:c r="K44" s="12" t="str">
        <x:v>Проверено в облачном браузере</x:v>
      </x:c>
      <x:c r="L44" s="7" t="n">
        <x:v>1</x:v>
      </x:c>
    </x:row>
    <x:row r="45" ht="69" customHeight="1">
      <x:c r="A45" s="2" t="str">
        <x:v>P044</x:v>
      </x:c>
      <x:c r="B45" s="2" t="str">
        <x:v>Сердце Сибири</x:v>
      </x:c>
      <x:c r="C45" s="2" t="str">
        <x:v>1-комнатная</x:v>
      </x:c>
      <x:c r="D45" s="9" t="n">
        <x:v>6500000</x:v>
      </x:c>
      <x:c r="E45" s="21" t="n">
        <x:v>29.62</x:v>
      </x:c>
      <x:c r="F45" s="13" t="str">
        <x:v>https://strana.com/tmn/serdtche-sibiri/flats/14938746/</x:v>
      </x:c>
      <x:c r="G45" s="23" t="n">
        <x:v>46327</x:v>
      </x:c>
      <x:c r="H45" s="13" t="str">
        <x:v>100% оплата, скидка 8%. На карточке также есть ипотечный вариант с той же скидкой; рассрочка рассчитывается отдельно</x:v>
      </x:c>
      <x:c r="I45" s="13" t="str">
        <x:v>№517; Квартал Инженеров, секция 4, этаж 5/25</x:v>
      </x:c>
      <x:c r="J45" s="13" t="str">
        <x:v>1-комнатная</x:v>
      </x:c>
      <x:c r="K45" s="13" t="str">
        <x:v>Проверено в облачном браузере</x:v>
      </x:c>
      <x:c r="L45" s="2" t="n">
        <x:v>1</x:v>
      </x:c>
    </x:row>
    <x:row r="46" ht="69" customHeight="1">
      <x:c r="A46" s="7" t="str">
        <x:v>P045</x:v>
      </x:c>
      <x:c r="B46" s="7" t="str">
        <x:v>Сердце Сибири</x:v>
      </x:c>
      <x:c r="C46" s="7" t="str">
        <x:v>2-комнатная</x:v>
      </x:c>
      <x:c r="D46" s="8" t="n">
        <x:v>6350000</x:v>
      </x:c>
      <x:c r="E46" s="20" t="n">
        <x:v>30.01</x:v>
      </x:c>
      <x:c r="F46" s="12" t="str">
        <x:v>https://strana.com/tmn/serdtche-sibiri/flats/14939021/</x:v>
      </x:c>
      <x:c r="G46" s="22" t="n">
        <x:v>46327</x:v>
      </x:c>
      <x:c r="H46" s="12" t="str">
        <x:v>100% оплата, скидка 10%. На карточке также есть ипотечный вариант с той же скидкой; рассрочка рассчитывается отдельно</x:v>
      </x:c>
      <x:c r="I46" s="12" t="str">
        <x:v>№792; Квартал Инженеров, секция 5, этаж 2/25</x:v>
      </x:c>
      <x:c r="J46" s="12" t="str">
        <x:v>2-комнатная (европланировка)</x:v>
      </x:c>
      <x:c r="K46" s="12" t="str">
        <x:v>Проверено в облачном браузере</x:v>
      </x:c>
      <x:c r="L46" s="7" t="n">
        <x:v>1</x:v>
      </x:c>
    </x:row>
    <x:row r="47" ht="69" customHeight="1">
      <x:c r="A47" s="2" t="str">
        <x:v>P046</x:v>
      </x:c>
      <x:c r="B47" s="2" t="str">
        <x:v>Сердце Сибири</x:v>
      </x:c>
      <x:c r="C47" s="2" t="str">
        <x:v>3-комнатная</x:v>
      </x:c>
      <x:c r="D47" s="9" t="n">
        <x:v>9000000</x:v>
      </x:c>
      <x:c r="E47" s="21" t="n">
        <x:v>54.29</x:v>
      </x:c>
      <x:c r="F47" s="13" t="str">
        <x:v>https://strana.com/tmn/serdtche-sibiri/flats/14938878/</x:v>
      </x:c>
      <x:c r="G47" s="23" t="n">
        <x:v>46327</x:v>
      </x:c>
      <x:c r="H47" s="13" t="str">
        <x:v>100% оплата, скидка 17%. На карточке также есть ипотечный вариант с той же скидкой; рассрочка рассчитывается отдельно</x:v>
      </x:c>
      <x:c r="I47" s="13" t="str">
        <x:v>№649; Квартал Инженеров, секция 4, этаж 15/25</x:v>
      </x:c>
      <x:c r="J47" s="13" t="str">
        <x:v>3-комнатная (европланировка)</x:v>
      </x:c>
      <x:c r="K47" s="13" t="str">
        <x:v>Проверено в облачном браузере</x:v>
      </x:c>
      <x:c r="L47" s="2" t="n">
        <x:v>1</x:v>
      </x:c>
    </x:row>
    <x:row r="48" ht="69" customHeight="1">
      <x:c r="A48" s="7" t="str">
        <x:v>P047</x:v>
      </x:c>
      <x:c r="B48" s="7" t="str">
        <x:v>Сердце Сибири</x:v>
      </x:c>
      <x:c r="C48" s="7" t="str">
        <x:v>4-комнатная</x:v>
      </x:c>
      <x:c r="D48" s="8" t="n">
        <x:v>11570000</x:v>
      </x:c>
      <x:c r="E48" s="20" t="n">
        <x:v>71.72</x:v>
      </x:c>
      <x:c r="F48" s="12" t="str">
        <x:v>https://strana.com/tmn/serdtche-sibiri/flats/14938361/</x:v>
      </x:c>
      <x:c r="G48" s="22" t="n">
        <x:v>46327</x:v>
      </x:c>
      <x:c r="H48" s="12" t="str">
        <x:v>100% оплата, скидка 17%. На карточке также есть ипотечный вариант с той же скидкой; рассрочка рассчитывается отдельно</x:v>
      </x:c>
      <x:c r="I48" s="12" t="str">
        <x:v>№132; Квартал Инженеров, секция 1, этаж 14/25</x:v>
      </x:c>
      <x:c r="J48" s="12" t="str">
        <x:v>4-комнатная (европланировка)</x:v>
      </x:c>
      <x:c r="K48" s="12" t="str">
        <x:v>Проверено в облачном браузере</x:v>
      </x:c>
      <x:c r="L48" s="7" t="n">
        <x:v>1</x:v>
      </x:c>
    </x:row>
    <x:row r="49" ht="69" customHeight="1">
      <x:c r="A49" s="2" t="str">
        <x:v>P048</x:v>
      </x:c>
      <x:c r="B49" s="2" t="str">
        <x:v>Остров-сад</x:v>
      </x:c>
      <x:c r="C49" s="2" t="str">
        <x:v>Студия</x:v>
      </x:c>
      <x:c r="D49" s="9" t="n">
        <x:v>4360000</x:v>
      </x:c>
      <x:c r="E49" s="21" t="n">
        <x:v>20.77</x:v>
      </x:c>
      <x:c r="F49" s="13" t="str">
        <x:v>https://strana.com/tmn/ostrov-sad/flats/15382167/</x:v>
      </x:c>
      <x:c r="G49" s="23" t="n">
        <x:v>46327</x:v>
      </x:c>
      <x:c r="H49" s="13" t="str">
        <x:v>100% оплата, скидка 5%. На карточке также есть ипотечный вариант с той же скидкой; рассрочка рассчитывается отдельно</x:v>
      </x:c>
      <x:c r="I49" s="13" t="str">
        <x:v>№251; Майорка, корпус 1, секция 3, этаж 2/24</x:v>
      </x:c>
      <x:c r="J49" s="13" t="str">
        <x:v>Студия</x:v>
      </x:c>
      <x:c r="K49" s="13" t="str">
        <x:v>Проверено в облачном браузере</x:v>
      </x:c>
      <x:c r="L49" s="2" t="n">
        <x:v>1</x:v>
      </x:c>
    </x:row>
    <x:row r="50" ht="69" customHeight="1">
      <x:c r="A50" s="7" t="str">
        <x:v>P049</x:v>
      </x:c>
      <x:c r="B50" s="7" t="str">
        <x:v>Остров-сад</x:v>
      </x:c>
      <x:c r="C50" s="7" t="str">
        <x:v>1-комнатная</x:v>
      </x:c>
      <x:c r="D50" s="8" t="n">
        <x:v>5420000</x:v>
      </x:c>
      <x:c r="E50" s="20" t="n">
        <x:v>31.46</x:v>
      </x:c>
      <x:c r="F50" s="12" t="str">
        <x:v>https://strana.com/tmn/ostrov-sad/flats/16058468/</x:v>
      </x:c>
      <x:c r="G50" s="22" t="n">
        <x:v>46327</x:v>
      </x:c>
      <x:c r="H50" s="12" t="str">
        <x:v>100% оплата, скидка 10%. На карточке также есть ипотечный вариант с той же скидкой; рассрочка рассчитывается отдельно</x:v>
      </x:c>
      <x:c r="I50" s="12" t="str">
        <x:v>№203; Тенерифе, секция 2, этаж 2/14</x:v>
      </x:c>
      <x:c r="J50" s="12" t="str">
        <x:v>1-комнатная</x:v>
      </x:c>
      <x:c r="K50" s="12" t="str">
        <x:v>Проверено в облачном браузере</x:v>
      </x:c>
      <x:c r="L50" s="7" t="n">
        <x:v>1</x:v>
      </x:c>
    </x:row>
    <x:row r="51" ht="69" customHeight="1">
      <x:c r="A51" s="2" t="str">
        <x:v>P050</x:v>
      </x:c>
      <x:c r="B51" s="2" t="str">
        <x:v>Остров-сад</x:v>
      </x:c>
      <x:c r="C51" s="2" t="str">
        <x:v>2-комнатная</x:v>
      </x:c>
      <x:c r="D51" s="9" t="n">
        <x:v>5230000</x:v>
      </x:c>
      <x:c r="E51" s="21" t="n">
        <x:v>28.08</x:v>
      </x:c>
      <x:c r="F51" s="13" t="str">
        <x:v>https://strana.com/tmn/ostrov-sad/flats/16059229/</x:v>
      </x:c>
      <x:c r="G51" s="23" t="n">
        <x:v>46327</x:v>
      </x:c>
      <x:c r="H51" s="13" t="str">
        <x:v>100% оплата, скидка 10%. На карточке также есть ипотечный вариант с той же скидкой; рассрочка рассчитывается отдельно</x:v>
      </x:c>
      <x:c r="I51" s="13" t="str">
        <x:v>№964; Тенерифе, секция 5, этаж 16/17</x:v>
      </x:c>
      <x:c r="J51" s="13" t="str">
        <x:v>2-комнатная (европланировка)</x:v>
      </x:c>
      <x:c r="K51" s="13" t="str">
        <x:v>Проверено в облачном браузере</x:v>
      </x:c>
      <x:c r="L51" s="2" t="n">
        <x:v>1</x:v>
      </x:c>
    </x:row>
    <x:row r="52" ht="69" customHeight="1">
      <x:c r="A52" s="7" t="str">
        <x:v>P051</x:v>
      </x:c>
      <x:c r="B52" s="7" t="str">
        <x:v>Остров-сад</x:v>
      </x:c>
      <x:c r="C52" s="7" t="str">
        <x:v>3-комнатная</x:v>
      </x:c>
      <x:c r="D52" s="8" t="n">
        <x:v>8380000</x:v>
      </x:c>
      <x:c r="E52" s="20" t="n">
        <x:v>54.44</x:v>
      </x:c>
      <x:c r="F52" s="12" t="str">
        <x:v>https://strana.com/tmn/ostrov-sad/flats/16059037/</x:v>
      </x:c>
      <x:c r="G52" s="22" t="n">
        <x:v>46327</x:v>
      </x:c>
      <x:c r="H52" s="12" t="str">
        <x:v>100% оплата, скидка 10%. На карточке также есть ипотечный вариант с той же скидкой; рассрочка рассчитывается отдельно</x:v>
      </x:c>
      <x:c r="I52" s="12" t="str">
        <x:v>№772; Тенерифе, секция 5, этаж 2/17</x:v>
      </x:c>
      <x:c r="J52" s="12" t="str">
        <x:v>3-комнатная (европланировка)</x:v>
      </x:c>
      <x:c r="K52" s="12" t="str">
        <x:v>Проверено в облачном браузере</x:v>
      </x:c>
      <x:c r="L52" s="7" t="n">
        <x:v>1</x:v>
      </x:c>
    </x:row>
    <x:row r="53" ht="69" customHeight="1">
      <x:c r="A53" s="2" t="str">
        <x:v>P052</x:v>
      </x:c>
      <x:c r="B53" s="2" t="str">
        <x:v>Остров-сад</x:v>
      </x:c>
      <x:c r="C53" s="2" t="str">
        <x:v>4-комнатная</x:v>
      </x:c>
      <x:c r="D53" s="9" t="n">
        <x:v>11480000</x:v>
      </x:c>
      <x:c r="E53" s="21" t="n">
        <x:v>73.87</x:v>
      </x:c>
      <x:c r="F53" s="13" t="str">
        <x:v>https://strana.com/tmn/ostrov-sad/flats/16058810/</x:v>
      </x:c>
      <x:c r="G53" s="23" t="n">
        <x:v>46327</x:v>
      </x:c>
      <x:c r="H53" s="13" t="str">
        <x:v>100% оплата, скидка 10%. На карточке также есть ипотечный вариант с той же скидкой; рассрочка рассчитывается отдельно</x:v>
      </x:c>
      <x:c r="I53" s="13" t="str">
        <x:v>№545; Тенерифе, этаж 15/16</x:v>
      </x:c>
      <x:c r="J53" s="13" t="str">
        <x:v>4-комнатная (европланировка)</x:v>
      </x:c>
      <x:c r="K53" s="13" t="str">
        <x:v>Проверено в облачном браузере</x:v>
      </x:c>
      <x:c r="L53" s="2" t="n">
        <x:v>1</x:v>
      </x:c>
    </x:row>
    <x:row r="54" ht="69" customHeight="1">
      <x:c r="A54" s="7" t="str">
        <x:v>P053</x:v>
      </x:c>
      <x:c r="B54" s="7" t="str">
        <x:v>Сибирский</x:v>
      </x:c>
      <x:c r="C54" s="7" t="str">
        <x:v>Студия</x:v>
      </x:c>
      <x:c r="D54" s="8" t="n">
        <x:v>3257600</x:v>
      </x:c>
      <x:c r="E54" s="20" t="n">
        <x:v>24.68</x:v>
      </x:c>
      <x:c r="F54" s="12" t="str">
        <x:v>https://ludi-ludi.ru/flats/sibirskiy/kvartira-14368565/</x:v>
      </x:c>
      <x:c r="G54" s="22" t="n">
        <x:v>46327</x:v>
      </x:c>
      <x:c r="H54" s="12" t="str">
        <x:v>Скидка 20%: 4 072 000 → 3 257 600 ₽. Способ оплаты не раскрыт</x:v>
      </x:c>
      <x:c r="I54" s="12" t="str">
        <x:v>Секция 3б; этаж 13/17</x:v>
      </x:c>
      <x:c r="J54" s="12" t="str">
        <x:v>Студия</x:v>
      </x:c>
      <x:c r="K54" s="12" t="str">
        <x:v>Проверено в облачном браузере</x:v>
      </x:c>
      <x:c r="L54" s="7" t="n">
        <x:v>1</x:v>
      </x:c>
    </x:row>
    <x:row r="55" ht="69" customHeight="1">
      <x:c r="A55" s="2" t="str">
        <x:v>P054</x:v>
      </x:c>
      <x:c r="B55" s="2" t="str">
        <x:v>Сибирский</x:v>
      </x:c>
      <x:c r="C55" s="2" t="str">
        <x:v>1-комнатная</x:v>
      </x:c>
      <x:c r="D55" s="9" t="n">
        <x:v>4493600</x:v>
      </x:c>
      <x:c r="E55" s="21" t="n">
        <x:v>39.37</x:v>
      </x:c>
      <x:c r="F55" s="13" t="str">
        <x:v>https://ludi-ludi.ru/flats/sibirskiy/kvartira-14368740/</x:v>
      </x:c>
      <x:c r="G55" s="23" t="n">
        <x:v>46327</x:v>
      </x:c>
      <x:c r="H55" s="13" t="str">
        <x:v>Скидка 20%: 5 617 000 → 4 493 600 ₽. Способ оплаты не раскрыт</x:v>
      </x:c>
      <x:c r="I55" s="13" t="str">
        <x:v>Секция 3в; этаж 12/14</x:v>
      </x:c>
      <x:c r="J55" s="13" t="str">
        <x:v>1-комнатная</x:v>
      </x:c>
      <x:c r="K55" s="13" t="str">
        <x:v>Проверено в облачном браузере</x:v>
      </x:c>
      <x:c r="L55" s="2" t="n">
        <x:v>1</x:v>
      </x:c>
    </x:row>
    <x:row r="56" ht="69" customHeight="1">
      <x:c r="A56" s="7" t="str">
        <x:v>P055</x:v>
      </x:c>
      <x:c r="B56" s="7" t="str">
        <x:v>Сибирский</x:v>
      </x:c>
      <x:c r="C56" s="7" t="str">
        <x:v>2-комнатная</x:v>
      </x:c>
      <x:c r="D56" s="8" t="n">
        <x:v>6357600</x:v>
      </x:c>
      <x:c r="E56" s="20" t="n">
        <x:v>56.65</x:v>
      </x:c>
      <x:c r="F56" s="12" t="str">
        <x:v>https://ludi-ludi.ru/flats/sibirskiy/kvartira-14368040/</x:v>
      </x:c>
      <x:c r="G56" s="22" t="n">
        <x:v>46327</x:v>
      </x:c>
      <x:c r="H56" s="12" t="str">
        <x:v>Скидка 20%: 7 947 000 → 6 357 600 ₽. Способ оплаты не раскрыт</x:v>
      </x:c>
      <x:c r="I56" s="12" t="str">
        <x:v>Секция 1б; этаж 17/17</x:v>
      </x:c>
      <x:c r="J56" s="12" t="str">
        <x:v>2-комнатная</x:v>
      </x:c>
      <x:c r="K56" s="12" t="str">
        <x:v>Проверено в облачном браузере</x:v>
      </x:c>
      <x:c r="L56" s="7" t="n">
        <x:v>1</x:v>
      </x:c>
    </x:row>
    <x:row r="57" ht="69" customHeight="1">
      <x:c r="A57" s="2" t="str">
        <x:v>P056</x:v>
      </x:c>
      <x:c r="B57" s="2" t="str">
        <x:v>Сибирский</x:v>
      </x:c>
      <x:c r="C57" s="2" t="str">
        <x:v>3-комнатная</x:v>
      </x:c>
      <x:c r="D57" s="9" t="n">
        <x:v>7680800</x:v>
      </x:c>
      <x:c r="E57" s="21" t="n">
        <x:v>75.97</x:v>
      </x:c>
      <x:c r="F57" s="13" t="str">
        <x:v>https://ludi-ludi.ru/flats/sibirskiy/kvartira-14689854/</x:v>
      </x:c>
      <x:c r="G57" s="23" t="n">
        <x:v>46327</x:v>
      </x:c>
      <x:c r="H57" s="13" t="str">
        <x:v>Скидка 20%: 9 601 000 → 7 680 800 ₽. Способ оплаты не раскрыт</x:v>
      </x:c>
      <x:c r="I57" s="13" t="str">
        <x:v>Секция 2а; этаж 2/12</x:v>
      </x:c>
      <x:c r="J57" s="13" t="str">
        <x:v>3-комнатная</x:v>
      </x:c>
      <x:c r="K57" s="13" t="str">
        <x:v>Проверено в облачном браузере</x:v>
      </x:c>
      <x:c r="L57" s="2" t="n">
        <x:v>1</x:v>
      </x:c>
    </x:row>
    <x:row r="58" ht="69" customHeight="1">
      <x:c r="A58" s="7" t="str">
        <x:v>P057</x:v>
      </x:c>
      <x:c r="B58" s="7" t="str">
        <x:v>Символ</x:v>
      </x:c>
      <x:c r="C58" s="7" t="str">
        <x:v>Студия</x:v>
      </x:c>
      <x:c r="D58" s="8" t="n">
        <x:v>5230000</x:v>
      </x:c>
      <x:c r="E58" s="20" t="n">
        <x:v>30.22</x:v>
      </x:c>
      <x:c r="F58" s="12" t="str">
        <x:v>https://xn--80ahefirqxn.xn--p1ai/realty/17612980</x:v>
      </x:c>
      <x:c r="G58" s="22" t="n">
        <x:v>46327</x:v>
      </x:c>
      <x:c r="H58" s="12" t="str">
        <x:v>Скидка 9%: 5 730 000 → 5 230 000 ₽. Условия оплаты не раскрыты</x:v>
      </x:c>
      <x:c r="I58" s="12" t="str">
        <x:v>2 очередь; подъезд 4, этаж 5/19</x:v>
      </x:c>
      <x:c r="J58" s="12" t="str">
        <x:v>Студия</x:v>
      </x:c>
      <x:c r="K58" s="12" t="str">
        <x:v>Проверено в облачном браузере</x:v>
      </x:c>
      <x:c r="L58" s="7" t="n">
        <x:v>1</x:v>
      </x:c>
    </x:row>
    <x:row r="59" ht="69" customHeight="1">
      <x:c r="A59" s="2" t="str">
        <x:v>P058</x:v>
      </x:c>
      <x:c r="B59" s="2" t="str">
        <x:v>Символ</x:v>
      </x:c>
      <x:c r="C59" s="2" t="str">
        <x:v>1-комнатная</x:v>
      </x:c>
      <x:c r="D59" s="9" t="n">
        <x:v>5260000</x:v>
      </x:c>
      <x:c r="E59" s="21" t="n">
        <x:v>38.18</x:v>
      </x:c>
      <x:c r="F59" s="13" t="str">
        <x:v>https://xn--80ahefirqxn.xn--p1ai/realty/17612906</x:v>
      </x:c>
      <x:c r="G59" s="23" t="n">
        <x:v>46327</x:v>
      </x:c>
      <x:c r="H59" s="13" t="str">
        <x:v>Скидка 12%: 5 960 000 → 5 260 000 ₽. Условия оплаты не раскрыты</x:v>
      </x:c>
      <x:c r="I59" s="13" t="str">
        <x:v>2 очередь; этаж 2/19</x:v>
      </x:c>
      <x:c r="J59" s="13" t="str">
        <x:v>1-комнатная</x:v>
      </x:c>
      <x:c r="K59" s="13" t="str">
        <x:v>Проверено в облачном браузере</x:v>
      </x:c>
      <x:c r="L59" s="2" t="n">
        <x:v>1</x:v>
      </x:c>
    </x:row>
    <x:row r="60" ht="69" customHeight="1">
      <x:c r="A60" s="7" t="str">
        <x:v>P059</x:v>
      </x:c>
      <x:c r="B60" s="7" t="str">
        <x:v>Символ</x:v>
      </x:c>
      <x:c r="C60" s="7" t="str">
        <x:v>2-комнатная</x:v>
      </x:c>
      <x:c r="D60" s="8" t="n">
        <x:v>7040000</x:v>
      </x:c>
      <x:c r="E60" s="20" t="n">
        <x:v>62.7</x:v>
      </x:c>
      <x:c r="F60" s="12" t="str">
        <x:v>https://xn--80ahefirqxn.xn--p1ai/realty/17612961</x:v>
      </x:c>
      <x:c r="G60" s="22" t="n">
        <x:v>46327</x:v>
      </x:c>
      <x:c r="H60" s="12" t="str">
        <x:v>Скидка 18%: 8 630 000 → 7 040 000 ₽. Условия оплаты не раскрыты</x:v>
      </x:c>
      <x:c r="I60" s="12" t="str">
        <x:v>2 очередь; этаж 2/19</x:v>
      </x:c>
      <x:c r="J60" s="12" t="str">
        <x:v>2-комнатная</x:v>
      </x:c>
      <x:c r="K60" s="12" t="str">
        <x:v>Проверено в облачном браузере</x:v>
      </x:c>
      <x:c r="L60" s="7" t="n">
        <x:v>1</x:v>
      </x:c>
    </x:row>
    <x:row r="61" ht="69" customHeight="1">
      <x:c r="A61" s="2" t="str">
        <x:v>P060</x:v>
      </x:c>
      <x:c r="B61" s="2" t="str">
        <x:v>Символ</x:v>
      </x:c>
      <x:c r="C61" s="2" t="str">
        <x:v>3-комнатная</x:v>
      </x:c>
      <x:c r="D61" s="9" t="n">
        <x:v>8390000</x:v>
      </x:c>
      <x:c r="E61" s="21" t="n">
        <x:v>80.24</x:v>
      </x:c>
      <x:c r="F61" s="13" t="str">
        <x:v>https://xn--80ahefirqxn.xn--p1ai/realty/16706517</x:v>
      </x:c>
      <x:c r="G61" s="23" t="n">
        <x:v>46327</x:v>
      </x:c>
      <x:c r="H61" s="13" t="str">
        <x:v>Скидка 16%: 10 010 000 → 8 390 000 ₽. Условия оплаты не раскрыты</x:v>
      </x:c>
      <x:c r="I61" s="13" t="str">
        <x:v>1 очередь; этаж 5/19</x:v>
      </x:c>
      <x:c r="J61" s="13" t="str">
        <x:v>3-комнатная</x:v>
      </x:c>
      <x:c r="K61" s="13" t="str">
        <x:v>Проверено в облачном браузере</x:v>
      </x:c>
      <x:c r="L61" s="2" t="n">
        <x:v>1</x:v>
      </x:c>
    </x:row>
    <x:row r="62" ht="69" customHeight="1">
      <x:c r="A62" s="7" t="str">
        <x:v>P061</x:v>
      </x:c>
      <x:c r="B62" s="7" t="str">
        <x:v>Сезоны</x:v>
      </x:c>
      <x:c r="C62" s="7" t="str">
        <x:v>Студия</x:v>
      </x:c>
      <x:c r="D62" s="8" t="n">
        <x:v>4870000</x:v>
      </x:c>
      <x:c r="E62" s="20" t="n">
        <x:v>31.16</x:v>
      </x:c>
      <x:c r="F62" s="12" t="str">
        <x:v>https://4d.life/flats/16720/</x:v>
      </x:c>
      <x:c r="G62" s="22" t="n">
        <x:v>46327</x:v>
      </x:c>
      <x:c r="H62" s="12" t="str">
        <x:v>Скидка 855 000 ₽ с 5 725 000 ₽. Лучшая цена. Способ оплаты не раскрыт; ремонт и бонусы учитывать отдельно</x:v>
      </x:c>
      <x:c r="I62" s="12" t="str">
        <x:v>ГП-1.5; этаж 9/16</x:v>
      </x:c>
      <x:c r="J62" s="12" t="str">
        <x:v>Студия</x:v>
      </x:c>
      <x:c r="K62" s="12" t="str">
        <x:v>Проверено в облачном браузере</x:v>
      </x:c>
      <x:c r="L62" s="7" t="n">
        <x:v>1</x:v>
      </x:c>
    </x:row>
    <x:row r="63" ht="69" customHeight="1">
      <x:c r="A63" s="2" t="str">
        <x:v>P062</x:v>
      </x:c>
      <x:c r="B63" s="2" t="str">
        <x:v>Сезоны</x:v>
      </x:c>
      <x:c r="C63" s="2" t="str">
        <x:v>1-комнатная</x:v>
      </x:c>
      <x:c r="D63" s="9" t="n">
        <x:v>5590000</x:v>
      </x:c>
      <x:c r="E63" s="21" t="n">
        <x:v>35.98</x:v>
      </x:c>
      <x:c r="F63" s="13" t="str">
        <x:v>https://4d.life/flats/16726/</x:v>
      </x:c>
      <x:c r="G63" s="23" t="n">
        <x:v>46327</x:v>
      </x:c>
      <x:c r="H63" s="13" t="str">
        <x:v>Скидка 975 000 ₽ с 6 565 000 ₽. Лучшая цена. Способ оплаты не раскрыт</x:v>
      </x:c>
      <x:c r="I63" s="13" t="str">
        <x:v>ГП-1.5; этаж 10/16</x:v>
      </x:c>
      <x:c r="J63" s="13" t="str">
        <x:v>1-комнатная</x:v>
      </x:c>
      <x:c r="K63" s="13" t="str">
        <x:v>Проверено в облачном браузере</x:v>
      </x:c>
      <x:c r="L63" s="2" t="n">
        <x:v>1</x:v>
      </x:c>
    </x:row>
    <x:row r="64" ht="69" customHeight="1">
      <x:c r="A64" s="7" t="str">
        <x:v>P063</x:v>
      </x:c>
      <x:c r="B64" s="7" t="str">
        <x:v>Сезоны</x:v>
      </x:c>
      <x:c r="C64" s="7" t="str">
        <x:v>2-комнатная</x:v>
      </x:c>
      <x:c r="D64" s="8" t="n">
        <x:v>7300000</x:v>
      </x:c>
      <x:c r="E64" s="20" t="n">
        <x:v>59.96</x:v>
      </x:c>
      <x:c r="F64" s="12" t="str">
        <x:v>https://4d.life/flats/16470/</x:v>
      </x:c>
      <x:c r="G64" s="22" t="n">
        <x:v>46327</x:v>
      </x:c>
      <x:c r="H64" s="12" t="str">
        <x:v>Скидка 1 600 000 ₽ с 8 900 000 ₽. Тег «Семейная ипотека: 6% для всех». Обязательность программы для цены не раскрыта</x:v>
      </x:c>
      <x:c r="I64" s="12" t="str">
        <x:v>ГП-1.1; этаж 2/9</x:v>
      </x:c>
      <x:c r="J64" s="12" t="str">
        <x:v>2-комнатная</x:v>
      </x:c>
      <x:c r="K64" s="12" t="str">
        <x:v>Проверено в облачном браузере</x:v>
      </x:c>
      <x:c r="L64" s="7" t="n">
        <x:v>1</x:v>
      </x:c>
    </x:row>
    <x:row r="65" ht="69" customHeight="1">
      <x:c r="A65" s="2" t="str">
        <x:v>P064</x:v>
      </x:c>
      <x:c r="B65" s="2" t="str">
        <x:v>Сезоны</x:v>
      </x:c>
      <x:c r="C65" s="2" t="str">
        <x:v>3-комнатная</x:v>
      </x:c>
      <x:c r="D65" s="9" t="n">
        <x:v>9010000</x:v>
      </x:c>
      <x:c r="E65" s="21" t="n">
        <x:v>81.15</x:v>
      </x:c>
      <x:c r="F65" s="13" t="str">
        <x:v>https://4d.life/flats/16500/</x:v>
      </x:c>
      <x:c r="G65" s="23" t="n">
        <x:v>46327</x:v>
      </x:c>
      <x:c r="H65" s="13" t="str">
        <x:v>Скидка 1 581 000 ₽ с 10 591 000 ₽. Лучшая цена. Готовый ремонт 2 028 750 ₽ отображён отдельно и в цену квартиры не прибавлен</x:v>
      </x:c>
      <x:c r="I65" s="13" t="str">
        <x:v>ГП-1.1; этаж 6/9</x:v>
      </x:c>
      <x:c r="J65" s="13" t="str">
        <x:v>3-комнатная</x:v>
      </x:c>
      <x:c r="K65" s="13" t="str">
        <x:v>Проверено в облачном браузере</x:v>
      </x:c>
      <x:c r="L65" s="2" t="n">
        <x:v>1</x:v>
      </x:c>
    </x:row>
    <x:row r="66" ht="69" customHeight="1">
      <x:c r="A66" s="7" t="str">
        <x:v>P065</x:v>
      </x:c>
      <x:c r="B66" s="7" t="str">
        <x:v>Плэй</x:v>
      </x:c>
      <x:c r="C66" s="7" t="str">
        <x:v>1-комнатная</x:v>
      </x:c>
      <x:c r="D66" s="8" t="n">
        <x:v>6008000</x:v>
      </x:c>
      <x:c r="E66" s="20" t="n">
        <x:v>35.76</x:v>
      </x:c>
      <x:c r="F66" s="12" t="str">
        <x:v>https://newton.ru/flats/578858</x:v>
      </x:c>
      <x:c r="G66" s="22" t="n">
        <x:v>46327</x:v>
      </x:c>
      <x:c r="H66" s="12" t="str">
        <x:v>Снижение с 7 510 000 до 6 008 000 ₽. Теги: траншевая ипотека, рассрочка 0%, ипотека 11,5%. Условия скидки не раскрыты</x:v>
      </x:c>
      <x:c r="I66" s="12" t="str">
        <x:v>Артикул 3_13_4; этаж 13</x:v>
      </x:c>
      <x:c r="J66" s="12" t="str">
        <x:v>1-комнатная</x:v>
      </x:c>
      <x:c r="K66" s="12" t="str">
        <x:v>Проверено в облачном браузере</x:v>
      </x:c>
      <x:c r="L66" s="7" t="n">
        <x:v>1</x:v>
      </x:c>
    </x:row>
    <x:row r="67" ht="69" customHeight="1">
      <x:c r="A67" s="2" t="str">
        <x:v>P066</x:v>
      </x:c>
      <x:c r="B67" s="2" t="str">
        <x:v>Плэй</x:v>
      </x:c>
      <x:c r="C67" s="2" t="str">
        <x:v>2-комнатная</x:v>
      </x:c>
      <x:c r="D67" s="9" t="n">
        <x:v>7304000</x:v>
      </x:c>
      <x:c r="E67" s="21" t="n">
        <x:v>51.68</x:v>
      </x:c>
      <x:c r="F67" s="13" t="str">
        <x:v>https://newton.ru/flats/578895</x:v>
      </x:c>
      <x:c r="G67" s="23" t="n">
        <x:v>46327</x:v>
      </x:c>
      <x:c r="H67" s="13" t="str">
        <x:v>Снижение с 8 594 000 до 7 304 000 ₽. Условия скидки не раскрыты</x:v>
      </x:c>
      <x:c r="I67" s="13" t="str">
        <x:v>Артикул 3_17_01; этаж 17</x:v>
      </x:c>
      <x:c r="J67" s="13" t="str">
        <x:v>2-комнатная</x:v>
      </x:c>
      <x:c r="K67" s="13" t="str">
        <x:v>Проверено в облачном браузере</x:v>
      </x:c>
      <x:c r="L67" s="2" t="n">
        <x:v>1</x:v>
      </x:c>
    </x:row>
    <x:row r="68" ht="69" customHeight="1">
      <x:c r="A68" s="7" t="str">
        <x:v>P067</x:v>
      </x:c>
      <x:c r="B68" s="7" t="str">
        <x:v>Плэй</x:v>
      </x:c>
      <x:c r="C68" s="7" t="str">
        <x:v>3-комнатная</x:v>
      </x:c>
      <x:c r="D68" s="8" t="n">
        <x:v>9762000</x:v>
      </x:c>
      <x:c r="E68" s="20" t="n">
        <x:v>81.79</x:v>
      </x:c>
      <x:c r="F68" s="12" t="str">
        <x:v>https://newton.ru/flats/578823</x:v>
      </x:c>
      <x:c r="G68" s="22" t="n">
        <x:v>46327</x:v>
      </x:c>
      <x:c r="H68" s="12" t="str">
        <x:v>Снижение с 12 128 000 до 9 762 000 ₽. Условия скидки не раскрыты</x:v>
      </x:c>
      <x:c r="I68" s="12" t="str">
        <x:v>Артикул 3_9_9; этаж 9</x:v>
      </x:c>
      <x:c r="J68" s="12" t="str">
        <x:v>3-комнатная</x:v>
      </x:c>
      <x:c r="K68" s="12" t="str">
        <x:v>Проверено в облачном браузере</x:v>
      </x:c>
      <x:c r="L68" s="7" t="n">
        <x:v>1</x:v>
      </x:c>
    </x:row>
    <x:row r="69" ht="69" customHeight="1">
      <x:c r="A69" s="2" t="str">
        <x:v>A001</x:v>
      </x:c>
      <x:c r="B69" s="2" t="str">
        <x:v>Румянский</x:v>
      </x:c>
      <x:c r="C69" s="2" t="str">
        <x:v>Студия</x:v>
      </x:c>
      <x:c r="D69" s="9" t="n">
        <x:v>5200000</x:v>
      </x:c>
      <x:c r="E69" s="21"/>
      <x:c r="F69" s="13" t="str">
        <x:v>https://balance-development.ru/</x:v>
      </x:c>
      <x:c r="G69" s="23" t="n">
        <x:v>46327</x:v>
      </x:c>
      <x:c r="H69" s="13" t="str">
        <x:v>минимум по типу в сводке; Официальный сайт</x:v>
      </x:c>
      <x:c r="I69" s="13"/>
      <x:c r="J69" s="13" t="str">
        <x:v>Студия</x:v>
      </x:c>
      <x:c r="K69" s="13" t="str">
        <x:v>Архив исходника: округлённая рекламная сводка по типу, без идентификации лота. Для карты использованы точные цены квартир из каталога. Исходный статус: Ранее собранное предложение; перепроверить перед публикацией</x:v>
      </x:c>
      <x:c r="L69" s="2" t="n">
        <x:v>0</x:v>
      </x:c>
    </x:row>
    <x:row r="70" ht="69" customHeight="1">
      <x:c r="A70" s="7" t="str">
        <x:v>A002</x:v>
      </x:c>
      <x:c r="B70" s="7" t="str">
        <x:v>Румянский</x:v>
      </x:c>
      <x:c r="C70" s="7" t="str">
        <x:v>1-комнатная</x:v>
      </x:c>
      <x:c r="D70" s="8" t="n">
        <x:v>6800000</x:v>
      </x:c>
      <x:c r="E70" s="20"/>
      <x:c r="F70" s="12" t="str">
        <x:v>https://balance-development.ru/</x:v>
      </x:c>
      <x:c r="G70" s="22" t="n">
        <x:v>46327</x:v>
      </x:c>
      <x:c r="H70" s="12" t="str">
        <x:v>минимум по типу в сводке; Официальный сайт</x:v>
      </x:c>
      <x:c r="I70" s="12"/>
      <x:c r="J70" s="12" t="str">
        <x:v>1-комнатная</x:v>
      </x:c>
      <x:c r="K70" s="12" t="str">
        <x:v>Архив исходника: округлённая рекламная сводка по типу, без идентификации лота. Для карты использованы точные цены квартир из каталога. Исходный статус: Ранее собранное предложение; перепроверить перед публикацией</x:v>
      </x:c>
      <x:c r="L70" s="7" t="n">
        <x:v>0</x:v>
      </x:c>
    </x:row>
    <x:row r="71" ht="69" customHeight="1">
      <x:c r="A71" s="2" t="str">
        <x:v>A003</x:v>
      </x:c>
      <x:c r="B71" s="2" t="str">
        <x:v>Румянский</x:v>
      </x:c>
      <x:c r="C71" s="2" t="str">
        <x:v>2-комнатная</x:v>
      </x:c>
      <x:c r="D71" s="9" t="n">
        <x:v>8000000</x:v>
      </x:c>
      <x:c r="E71" s="21"/>
      <x:c r="F71" s="13" t="str">
        <x:v>https://balance-development.ru/</x:v>
      </x:c>
      <x:c r="G71" s="23" t="n">
        <x:v>46327</x:v>
      </x:c>
      <x:c r="H71" s="13" t="str">
        <x:v>минимум по типу в сводке; Официальный сайт</x:v>
      </x:c>
      <x:c r="I71" s="13"/>
      <x:c r="J71" s="13" t="str">
        <x:v>2-комнатная</x:v>
      </x:c>
      <x:c r="K71" s="13" t="str">
        <x:v>Архив исходника: округлённая рекламная сводка по типу, без идентификации лота. Для карты использованы точные цены квартир из каталога. Исходный статус: Ранее собранное предложение; перепроверить перед публикацией</x:v>
      </x:c>
      <x:c r="L71" s="2" t="n">
        <x:v>0</x:v>
      </x:c>
    </x:row>
    <x:row r="72" ht="69" customHeight="1">
      <x:c r="A72" s="7" t="str">
        <x:v>A004</x:v>
      </x:c>
      <x:c r="B72" s="7" t="str">
        <x:v>Румянский</x:v>
      </x:c>
      <x:c r="C72" s="7" t="str">
        <x:v>3-комнатная</x:v>
      </x:c>
      <x:c r="D72" s="8" t="n">
        <x:v>9500000</x:v>
      </x:c>
      <x:c r="E72" s="20"/>
      <x:c r="F72" s="12" t="str">
        <x:v>https://balance-development.ru/</x:v>
      </x:c>
      <x:c r="G72" s="22" t="n">
        <x:v>46327</x:v>
      </x:c>
      <x:c r="H72" s="12" t="str">
        <x:v>минимум по типу в сводке; Официальный сайт</x:v>
      </x:c>
      <x:c r="I72" s="12"/>
      <x:c r="J72" s="12" t="str">
        <x:v>3-комнатная</x:v>
      </x:c>
      <x:c r="K72" s="12" t="str">
        <x:v>Архив исходника: округлённая рекламная сводка по типу, без идентификации лота. Для карты использованы точные цены квартир из каталога. Исходный статус: Ранее собранное предложение; перепроверить перед публикацией</x:v>
      </x:c>
      <x:c r="L72" s="7" t="n">
        <x:v>0</x:v>
      </x:c>
    </x:row>
    <x:row r="73" ht="69" customHeight="1">
      <x:c r="A73" s="2" t="str">
        <x:v>A005</x:v>
      </x:c>
      <x:c r="B73" s="2" t="str">
        <x:v>Мотивы</x:v>
      </x:c>
      <x:c r="C73" s="2" t="str">
        <x:v>Студия</x:v>
      </x:c>
      <x:c r="D73" s="9" t="n">
        <x:v>3502000</x:v>
      </x:c>
      <x:c r="E73" s="21" t="n">
        <x:v>21.9</x:v>
      </x:c>
      <x:c r="F73" s="13" t="str">
        <x:v>https://xn--80afahr7ap7a8g.xn--p1ai/apartments/</x:v>
      </x:c>
      <x:c r="G73" s="23" t="n">
        <x:v>46327</x:v>
      </x:c>
      <x:c r="H73" s="13" t="str">
        <x:v>Конкретное предложение со скидкой; не доказан минимум по всем лотам; Конкретное предложение со скидкой; не доказан минимум по всем лотам</x:v>
      </x:c>
      <x:c r="I73" s="13"/>
      <x:c r="J73" s="13" t="str">
        <x:v>Студия</x:v>
      </x:c>
      <x:c r="K73" s="13" t="str">
        <x:v>Архив исходного файла, сохранён без удаления. Не участвует в импорте. Актуальная выбранная цена и самостоятельный источник находятся в строке Для карты = 1. Исходный статус: Ранее собранное предложение; перепроверить перед публикацией</x:v>
      </x:c>
      <x:c r="L73" s="2" t="n">
        <x:v>0</x:v>
      </x:c>
    </x:row>
    <x:row r="74" ht="69" customHeight="1">
      <x:c r="A74" s="7" t="str">
        <x:v>A006</x:v>
      </x:c>
      <x:c r="B74" s="7" t="str">
        <x:v>Добро на ДОКе</x:v>
      </x:c>
      <x:c r="C74" s="7" t="str">
        <x:v>1-комнатная</x:v>
      </x:c>
      <x:c r="D74" s="8" t="n">
        <x:v>4900000</x:v>
      </x:c>
      <x:c r="E74" s="20" t="n">
        <x:v>35</x:v>
      </x:c>
      <x:c r="F74" s="12" t="str">
        <x:v>https://gkinko.ru/kvartiry/odnokomnatnaya-35-kv-m-7309983</x:v>
      </x:c>
      <x:c r="G74" s="22" t="n">
        <x:v>46327</x:v>
      </x:c>
      <x:c r="H74" s="12" t="str">
        <x:v>конкретная квартира №334; Наличие и цену уточнять у застройщика</x:v>
      </x:c>
      <x:c r="I74" s="12"/>
      <x:c r="J74" s="12" t="str">
        <x:v>1-комнатная</x:v>
      </x:c>
      <x:c r="K74" s="12" t="str">
        <x:v>Архив исходного файла, сохранён без удаления. Не участвует в импорте. Актуальная выбранная цена и самостоятельный источник находятся в строке Для карты = 1. Исходный статус: Ранее собранное предложение; перепроверить перед публикацией</x:v>
      </x:c>
      <x:c r="L74" s="7" t="n">
        <x:v>0</x:v>
      </x:c>
    </x:row>
    <x:row r="75" ht="69" customHeight="1">
      <x:c r="A75" s="2" t="str">
        <x:v>A007</x:v>
      </x:c>
      <x:c r="B75" s="2" t="str">
        <x:v>Добро на ДОКе</x:v>
      </x:c>
      <x:c r="C75" s="2" t="str">
        <x:v>2-комнатная</x:v>
      </x:c>
      <x:c r="D75" s="9" t="n">
        <x:v>7000000</x:v>
      </x:c>
      <x:c r="E75" s="21" t="n">
        <x:v>51.2</x:v>
      </x:c>
      <x:c r="F75" s="13" t="str">
        <x:v>https://gkinko.ru/kvartiry/dvuhkomnatnaya-51-2-kv-m-7309780</x:v>
      </x:c>
      <x:c r="G75" s="23" t="n">
        <x:v>46327</x:v>
      </x:c>
      <x:c r="H75" s="13" t="str">
        <x:v>конкретная квартира №131; Цена со скидкой, условия уточнять</x:v>
      </x:c>
      <x:c r="I75" s="13"/>
      <x:c r="J75" s="13" t="str">
        <x:v>2-комнатная</x:v>
      </x:c>
      <x:c r="K75" s="13" t="str">
        <x:v>Архив исходного файла, сохранён без удаления. Не участвует в импорте. Актуальная выбранная цена и самостоятельный источник находятся в строке Для карты = 1. Исходный статус: Ранее собранное предложение; перепроверить перед публикацией</x:v>
      </x:c>
      <x:c r="L75" s="2" t="n">
        <x:v>0</x:v>
      </x:c>
    </x:row>
    <x:row r="76" ht="69" customHeight="1">
      <x:c r="A76" s="7" t="str">
        <x:v>A008</x:v>
      </x:c>
      <x:c r="B76" s="7" t="str">
        <x:v>Добро на ДОКе</x:v>
      </x:c>
      <x:c r="C76" s="7" t="str">
        <x:v>3-комнатная</x:v>
      </x:c>
      <x:c r="D76" s="8" t="n">
        <x:v>9425000</x:v>
      </x:c>
      <x:c r="E76" s="20" t="n">
        <x:v>71.3</x:v>
      </x:c>
      <x:c r="F76" s="12" t="str">
        <x:v>https://gkinko.ru/kvartiry/trekhkomnatnaya-71-3-kv-m-7309785</x:v>
      </x:c>
      <x:c r="G76" s="22" t="n">
        <x:v>46327</x:v>
      </x:c>
      <x:c r="H76" s="12" t="str">
        <x:v>конкретная квартира №136; Цена со скидкой, условия уточнять</x:v>
      </x:c>
      <x:c r="I76" s="12"/>
      <x:c r="J76" s="12" t="str">
        <x:v>3-комнатная</x:v>
      </x:c>
      <x:c r="K76" s="12" t="str">
        <x:v>Архив исходного файла, сохранён без удаления. Не участвует в импорте. Актуальная выбранная цена и самостоятельный источник находятся в строке Для карты = 1. Исходный статус: Ранее собранное предложение; перепроверить перед публикацией</x:v>
      </x:c>
      <x:c r="L76" s="7" t="n">
        <x:v>0</x:v>
      </x:c>
    </x:row>
    <x:row r="77" ht="69" customHeight="1">
      <x:c r="A77" s="2" t="str">
        <x:v>A009</x:v>
      </x:c>
      <x:c r="B77" s="2" t="str">
        <x:v>Айвазовский</x:v>
      </x:c>
      <x:c r="C77" s="2" t="str">
        <x:v>Студия</x:v>
      </x:c>
      <x:c r="D77" s="9" t="n">
        <x:v>5638440</x:v>
      </x:c>
      <x:c r="E77" s="21" t="n">
        <x:v>28</x:v>
      </x:c>
      <x:c r="F77" s="13" t="str">
        <x:v>https://enco.ru/search/apartments/project/ayvazovskiy/</x:v>
      </x:c>
      <x:c r="G77" s="23" t="n">
        <x:v>46327</x:v>
      </x:c>
      <x:c r="H77" s="13" t="str">
        <x:v>предложение в каталоге; Скидка и доступность нуждаются в проверке; разные отображения сайта дают разные цены</x:v>
      </x:c>
      <x:c r="I77" s="13"/>
      <x:c r="J77" s="13" t="str">
        <x:v>Студия</x:v>
      </x:c>
      <x:c r="K77" s="13" t="str">
        <x:v>Архив исходника. В нём встречались цены «от» для группы этажей и ссылки на зеркало. Для карты открыты индивидуальные карточки на enco.ru; их текущая цена имеет приоритет. Исходный статус: Ранее собранное предложение; перепроверить перед публикацией</x:v>
      </x:c>
      <x:c r="L77" s="2" t="n">
        <x:v>0</x:v>
      </x:c>
    </x:row>
    <x:row r="78" ht="69" customHeight="1">
      <x:c r="A78" s="7" t="str">
        <x:v>A010</x:v>
      </x:c>
      <x:c r="B78" s="7" t="str">
        <x:v>Прео</x:v>
      </x:c>
      <x:c r="C78" s="7" t="str">
        <x:v>Студия</x:v>
      </x:c>
      <x:c r="D78" s="8" t="n">
        <x:v>4689903</x:v>
      </x:c>
      <x:c r="E78" s="20"/>
      <x:c r="F78" s="12" t="str">
        <x:v>https://www.nur.enco.ru/</x:v>
      </x:c>
      <x:c r="G78" s="22" t="n">
        <x:v>46327</x:v>
      </x:c>
      <x:c r="H78" s="12" t="str">
        <x:v>минимум по типу в сводке; Зеркала ЭНКО отличаются</x:v>
      </x:c>
      <x:c r="I78" s="12"/>
      <x:c r="J78" s="12" t="str">
        <x:v>Студия</x:v>
      </x:c>
      <x:c r="K78" s="12" t="str">
        <x:v>Архив исходника. В нём встречались цены «от» для группы этажей и ссылки на зеркало. Для карты открыты индивидуальные карточки на enco.ru; их текущая цена имеет приоритет. Исходный статус: Ранее собранное предложение; перепроверить перед публикацией</x:v>
      </x:c>
      <x:c r="L78" s="7" t="n">
        <x:v>0</x:v>
      </x:c>
    </x:row>
    <x:row r="79" ht="69" customHeight="1">
      <x:c r="A79" s="2" t="str">
        <x:v>A011</x:v>
      </x:c>
      <x:c r="B79" s="2" t="str">
        <x:v>Прео</x:v>
      </x:c>
      <x:c r="C79" s="2" t="str">
        <x:v>1-комнатная</x:v>
      </x:c>
      <x:c r="D79" s="9" t="n">
        <x:v>5406876</x:v>
      </x:c>
      <x:c r="E79" s="21" t="n">
        <x:v>38.43</x:v>
      </x:c>
      <x:c r="F79" s="13" t="str">
        <x:v>https://enco.ru/search/apartments/project/preo/</x:v>
      </x:c>
      <x:c r="G79" s="23" t="n">
        <x:v>46327</x:v>
      </x:c>
      <x:c r="H79" s="13" t="str">
        <x:v>Опубликованное предложение на странице официального каталога</x:v>
      </x:c>
      <x:c r="I79" s="13"/>
      <x:c r="J79" s="13" t="str">
        <x:v>1-комнатная</x:v>
      </x:c>
      <x:c r="K79" s="13" t="str">
        <x:v>Архив исходника. В нём встречались цены «от» для группы этажей и ссылки на зеркало. Для карты открыты индивидуальные карточки на enco.ru; их текущая цена имеет приоритет. Исходный статус: Ранее собранное предложение; перепроверить перед публикацией</x:v>
      </x:c>
      <x:c r="L79" s="2" t="n">
        <x:v>0</x:v>
      </x:c>
    </x:row>
    <x:row r="80" ht="69" customHeight="1">
      <x:c r="A80" s="7" t="str">
        <x:v>A012</x:v>
      </x:c>
      <x:c r="B80" s="7" t="str">
        <x:v>Прео</x:v>
      </x:c>
      <x:c r="C80" s="7" t="str">
        <x:v>2-комнатная</x:v>
      </x:c>
      <x:c r="D80" s="8" t="n">
        <x:v>7853967</x:v>
      </x:c>
      <x:c r="E80" s="20" t="n">
        <x:v>60.1</x:v>
      </x:c>
      <x:c r="F80" s="12" t="str">
        <x:v>https://enco.ru/search/apartments/project/preo/dvuhkomnatnye/</x:v>
      </x:c>
      <x:c r="G80" s="22" t="n">
        <x:v>46327</x:v>
      </x:c>
      <x:c r="H80" s="12" t="str">
        <x:v>Опубликованное предложение на странице официального каталога</x:v>
      </x:c>
      <x:c r="I80" s="12"/>
      <x:c r="J80" s="12" t="str">
        <x:v>2-комнатная</x:v>
      </x:c>
      <x:c r="K80" s="12" t="str">
        <x:v>Архив исходника. В нём встречались цены «от» для группы этажей и ссылки на зеркало. Для карты открыты индивидуальные карточки на enco.ru; их текущая цена имеет приоритет. Исходный статус: Ранее собранное предложение; перепроверить перед публикацией</x:v>
      </x:c>
      <x:c r="L80" s="7" t="n">
        <x:v>0</x:v>
      </x:c>
    </x:row>
    <x:row r="81" ht="69" customHeight="1">
      <x:c r="A81" s="2" t="str">
        <x:v>A013</x:v>
      </x:c>
      <x:c r="B81" s="2" t="str">
        <x:v>Прео</x:v>
      </x:c>
      <x:c r="C81" s="2" t="str">
        <x:v>3-комнатная</x:v>
      </x:c>
      <x:c r="D81" s="9" t="n">
        <x:v>10077642</x:v>
      </x:c>
      <x:c r="E81" s="21"/>
      <x:c r="F81" s="13" t="str">
        <x:v>https://www.nur.enco.ru/</x:v>
      </x:c>
      <x:c r="G81" s="23" t="n">
        <x:v>46327</x:v>
      </x:c>
      <x:c r="H81" s="13" t="str">
        <x:v>минимум по типу в сводке; Зеркала ЭНКО отличаются</x:v>
      </x:c>
      <x:c r="I81" s="13"/>
      <x:c r="J81" s="13" t="str">
        <x:v>3-комнатная</x:v>
      </x:c>
      <x:c r="K81" s="13" t="str">
        <x:v>Архив исходника. В нём встречались цены «от» для группы этажей и ссылки на зеркало. Для карты открыты индивидуальные карточки на enco.ru; их текущая цена имеет приоритет. Исходный статус: Ранее собранное предложение; перепроверить перед публикацией</x:v>
      </x:c>
      <x:c r="L81" s="2" t="n">
        <x:v>0</x:v>
      </x:c>
    </x:row>
    <x:row r="82" ht="69" customHeight="1">
      <x:c r="A82" s="7" t="str">
        <x:v>A014</x:v>
      </x:c>
      <x:c r="B82" s="7" t="str">
        <x:v>Домашний</x:v>
      </x:c>
      <x:c r="C82" s="7" t="str">
        <x:v>Студия</x:v>
      </x:c>
      <x:c r="D82" s="8" t="n">
        <x:v>4286500</x:v>
      </x:c>
      <x:c r="E82" s="20"/>
      <x:c r="F82" s="12" t="str">
        <x:v>https://strana.com/tmn/domashnyi/flats/14078051/</x:v>
      </x:c>
      <x:c r="G82" s="22" t="n">
        <x:v>46327</x:v>
      </x:c>
      <x:c r="H82" s="12" t="str">
        <x:v>минимум в секции 3; Не доказан минимум по всем корпусам</x:v>
      </x:c>
      <x:c r="I82" s="12"/>
      <x:c r="J82" s="12" t="str">
        <x:v>Студия</x:v>
      </x:c>
      <x:c r="K82" s="12" t="str">
        <x:v>Архив исходника. Общая ссылка 14078051 теперь показывает «Продано» и 1-комнатную 36 м². Пять прежних категорий не подтверждаются этой ссылкой; заменены отдельными актуальными карточками. Исходный статус: Ранее собранное предложение; перепроверить перед публикацией</x:v>
      </x:c>
      <x:c r="L82" s="7" t="n">
        <x:v>0</x:v>
      </x:c>
    </x:row>
    <x:row r="83" ht="69" customHeight="1">
      <x:c r="A83" s="2" t="str">
        <x:v>A015</x:v>
      </x:c>
      <x:c r="B83" s="2" t="str">
        <x:v>Домашний</x:v>
      </x:c>
      <x:c r="C83" s="2" t="str">
        <x:v>1-комнатная</x:v>
      </x:c>
      <x:c r="D83" s="9" t="n">
        <x:v>5420000</x:v>
      </x:c>
      <x:c r="E83" s="21"/>
      <x:c r="F83" s="13" t="str">
        <x:v>https://strana.com/tmn/domashnyi/flats/14078051/</x:v>
      </x:c>
      <x:c r="G83" s="23" t="n">
        <x:v>46327</x:v>
      </x:c>
      <x:c r="H83" s="13" t="str">
        <x:v>минимум в секции 2; Не доказан минимум по всем корпусам</x:v>
      </x:c>
      <x:c r="I83" s="13"/>
      <x:c r="J83" s="13" t="str">
        <x:v>1-комнатная</x:v>
      </x:c>
      <x:c r="K83" s="13" t="str">
        <x:v>Архив исходника. Общая ссылка 14078051 теперь показывает «Продано» и 1-комнатную 36 м². Пять прежних категорий не подтверждаются этой ссылкой; заменены отдельными актуальными карточками. Исходный статус: Ранее собранное предложение; перепроверить перед публикацией</x:v>
      </x:c>
      <x:c r="L83" s="2" t="n">
        <x:v>0</x:v>
      </x:c>
    </x:row>
    <x:row r="84" ht="69" customHeight="1">
      <x:c r="A84" s="7" t="str">
        <x:v>A016</x:v>
      </x:c>
      <x:c r="B84" s="7" t="str">
        <x:v>Домашний</x:v>
      </x:c>
      <x:c r="C84" s="7" t="str">
        <x:v>2-комнатная</x:v>
      </x:c>
      <x:c r="D84" s="8" t="n">
        <x:v>5703500</x:v>
      </x:c>
      <x:c r="E84" s="20"/>
      <x:c r="F84" s="12" t="str">
        <x:v>https://strana.com/tmn/domashnyi/flats/14078051/</x:v>
      </x:c>
      <x:c r="G84" s="22" t="n">
        <x:v>46327</x:v>
      </x:c>
      <x:c r="H84" s="12" t="str">
        <x:v>минимум в секции 2; Не доказан минимум по всем корпусам</x:v>
      </x:c>
      <x:c r="I84" s="12"/>
      <x:c r="J84" s="12" t="str">
        <x:v>2-комнатная</x:v>
      </x:c>
      <x:c r="K84" s="12" t="str">
        <x:v>Архив исходника. Общая ссылка 14078051 теперь показывает «Продано» и 1-комнатную 36 м². Пять прежних категорий не подтверждаются этой ссылкой; заменены отдельными актуальными карточками. Исходный статус: Ранее собранное предложение; перепроверить перед публикацией</x:v>
      </x:c>
      <x:c r="L84" s="7" t="n">
        <x:v>0</x:v>
      </x:c>
    </x:row>
    <x:row r="85" ht="69" customHeight="1">
      <x:c r="A85" s="2" t="str">
        <x:v>A017</x:v>
      </x:c>
      <x:c r="B85" s="2" t="str">
        <x:v>Домашний</x:v>
      </x:c>
      <x:c r="C85" s="2" t="str">
        <x:v>3-комнатная</x:v>
      </x:c>
      <x:c r="D85" s="9" t="n">
        <x:v>8510000</x:v>
      </x:c>
      <x:c r="E85" s="21"/>
      <x:c r="F85" s="13" t="str">
        <x:v>https://strana.com/tmn/domashnyi/flats/14078051/</x:v>
      </x:c>
      <x:c r="G85" s="23" t="n">
        <x:v>46327</x:v>
      </x:c>
      <x:c r="H85" s="13" t="str">
        <x:v>минимум в секции 1; Не доказан минимум по всем корпусам</x:v>
      </x:c>
      <x:c r="I85" s="13"/>
      <x:c r="J85" s="13" t="str">
        <x:v>3-комнатная</x:v>
      </x:c>
      <x:c r="K85" s="13" t="str">
        <x:v>Архив исходника. Общая ссылка 14078051 теперь показывает «Продано» и 1-комнатную 36 м². Пять прежних категорий не подтверждаются этой ссылкой; заменены отдельными актуальными карточками. Исходный статус: Ранее собранное предложение; перепроверить перед публикацией</x:v>
      </x:c>
      <x:c r="L85" s="2" t="n">
        <x:v>0</x:v>
      </x:c>
    </x:row>
    <x:row r="86" ht="69" customHeight="1">
      <x:c r="A86" s="7" t="str">
        <x:v>A018</x:v>
      </x:c>
      <x:c r="B86" s="7" t="str">
        <x:v>Домашний</x:v>
      </x:c>
      <x:c r="C86" s="7" t="str">
        <x:v>4-комнатная</x:v>
      </x:c>
      <x:c r="D86" s="8" t="n">
        <x:v>10910000</x:v>
      </x:c>
      <x:c r="E86" s="20"/>
      <x:c r="F86" s="12" t="str">
        <x:v>https://strana.com/tmn/domashnyi/flats/14078051/</x:v>
      </x:c>
      <x:c r="G86" s="22" t="n">
        <x:v>46327</x:v>
      </x:c>
      <x:c r="H86" s="12" t="str">
        <x:v>минимум в секции 3; Не доказан минимум по всем корпусам</x:v>
      </x:c>
      <x:c r="I86" s="12"/>
      <x:c r="J86" s="12" t="str">
        <x:v>4-комнатная</x:v>
      </x:c>
      <x:c r="K86" s="12" t="str">
        <x:v>Архив исходника. Общая ссылка 14078051 теперь показывает «Продано» и 1-комнатную 36 м². Пять прежних категорий не подтверждаются этой ссылкой; заменены отдельными актуальными карточками. Исходный статус: Ранее собранное предложение; перепроверить перед публикацией</x:v>
      </x:c>
      <x:c r="L86" s="7" t="n">
        <x:v>0</x:v>
      </x:c>
    </x:row>
    <x:row r="87" ht="69" customHeight="1">
      <x:c r="A87" s="2" t="str">
        <x:v>A019</x:v>
      </x:c>
      <x:c r="B87" s="2" t="str">
        <x:v>Остров-сад</x:v>
      </x:c>
      <x:c r="C87" s="2" t="str">
        <x:v>Студия</x:v>
      </x:c>
      <x:c r="D87" s="9" t="n">
        <x:v>4365000</x:v>
      </x:c>
      <x:c r="E87" s="21"/>
      <x:c r="F87" s="13" t="str">
        <x:v>https://strana.com/tmn/ostrov-sad/flats/15381943/</x:v>
      </x:c>
      <x:c r="G87" s="23" t="n">
        <x:v>46327</x:v>
      </x:c>
      <x:c r="H87" s="13" t="str">
        <x:v>минимум в секции Мальта 3; Не доказан минимум по всему ЖК</x:v>
      </x:c>
      <x:c r="I87" s="13"/>
      <x:c r="J87" s="13" t="str">
        <x:v>Студия</x:v>
      </x:c>
      <x:c r="K87" s="13" t="str">
        <x:v>Архив исходника. Часть строк ссылалась на одну карточку для разных типов и не имела площади. Для карты выбраны отдельные проверенные карточки; архивная цена не удалена. Исходный статус: Ранее собранное предложение; перепроверить перед публикацией</x:v>
      </x:c>
      <x:c r="L87" s="2" t="n">
        <x:v>0</x:v>
      </x:c>
    </x:row>
    <x:row r="88" ht="69" customHeight="1">
      <x:c r="A88" s="7" t="str">
        <x:v>A020</x:v>
      </x:c>
      <x:c r="B88" s="7" t="str">
        <x:v>Остров-сад</x:v>
      </x:c>
      <x:c r="C88" s="7" t="str">
        <x:v>1-комнатная</x:v>
      </x:c>
      <x:c r="D88" s="8" t="n">
        <x:v>6060000</x:v>
      </x:c>
      <x:c r="E88" s="20"/>
      <x:c r="F88" s="12" t="str">
        <x:v>https://strana.com/tmn/ostrov-sad/flats/15381943/</x:v>
      </x:c>
      <x:c r="G88" s="22" t="n">
        <x:v>46327</x:v>
      </x:c>
      <x:c r="H88" s="12" t="str">
        <x:v>минимум в секции Майорка 1; Не доказан минимум по всему ЖК</x:v>
      </x:c>
      <x:c r="I88" s="12"/>
      <x:c r="J88" s="12" t="str">
        <x:v>1-комнатная</x:v>
      </x:c>
      <x:c r="K88" s="12" t="str">
        <x:v>Архив исходника. Часть строк ссылалась на одну карточку для разных типов и не имела площади. Для карты выбраны отдельные проверенные карточки; архивная цена не удалена. Исходный статус: Ранее собранное предложение; перепроверить перед публикацией</x:v>
      </x:c>
      <x:c r="L88" s="7" t="n">
        <x:v>0</x:v>
      </x:c>
    </x:row>
    <x:row r="89" ht="69" customHeight="1">
      <x:c r="A89" s="2" t="str">
        <x:v>A021</x:v>
      </x:c>
      <x:c r="B89" s="2" t="str">
        <x:v>Остров-сад</x:v>
      </x:c>
      <x:c r="C89" s="2" t="str">
        <x:v>2-комнатная</x:v>
      </x:c>
      <x:c r="D89" s="9" t="n">
        <x:v>5420000</x:v>
      </x:c>
      <x:c r="E89" s="21"/>
      <x:c r="F89" s="13" t="str">
        <x:v>https://strana.com/tmn/ostrov-sad/flats/15381943/</x:v>
      </x:c>
      <x:c r="G89" s="23" t="n">
        <x:v>46327</x:v>
      </x:c>
      <x:c r="H89" s="13" t="str">
        <x:v>минимум в секции Мальта 3; Не доказан минимум по всему ЖК</x:v>
      </x:c>
      <x:c r="I89" s="13"/>
      <x:c r="J89" s="13" t="str">
        <x:v>2-комнатная</x:v>
      </x:c>
      <x:c r="K89" s="13" t="str">
        <x:v>Архив исходника. Часть строк ссылалась на одну карточку для разных типов и не имела площади. Для карты выбраны отдельные проверенные карточки; архивная цена не удалена. Исходный статус: Ранее собранное предложение; перепроверить перед публикацией</x:v>
      </x:c>
      <x:c r="L89" s="2" t="n">
        <x:v>0</x:v>
      </x:c>
    </x:row>
    <x:row r="90" ht="69" customHeight="1">
      <x:c r="A90" s="7" t="str">
        <x:v>A022</x:v>
      </x:c>
      <x:c r="B90" s="7" t="str">
        <x:v>Остров-сад</x:v>
      </x:c>
      <x:c r="C90" s="7" t="str">
        <x:v>3-комнатная</x:v>
      </x:c>
      <x:c r="D90" s="8" t="n">
        <x:v>8240000</x:v>
      </x:c>
      <x:c r="E90" s="20"/>
      <x:c r="F90" s="12" t="str">
        <x:v>https://strana.com/tmn/ostrov-sad/flats/15381943/</x:v>
      </x:c>
      <x:c r="G90" s="22" t="n">
        <x:v>46327</x:v>
      </x:c>
      <x:c r="H90" s="12" t="str">
        <x:v>минимум в секции Мальта 4; Не доказан минимум по всему ЖК</x:v>
      </x:c>
      <x:c r="I90" s="12"/>
      <x:c r="J90" s="12" t="str">
        <x:v>3-комнатная</x:v>
      </x:c>
      <x:c r="K90" s="12" t="str">
        <x:v>Архив исходника. Часть строк ссылалась на одну карточку для разных типов и не имела площади. Для карты выбраны отдельные проверенные карточки; архивная цена не удалена. Исходный статус: Ранее собранное предложение; перепроверить перед публикацией</x:v>
      </x:c>
      <x:c r="L90" s="7" t="n">
        <x:v>0</x:v>
      </x:c>
    </x:row>
    <x:row r="91" ht="69" customHeight="1">
      <x:c r="A91" s="2" t="str">
        <x:v>A023</x:v>
      </x:c>
      <x:c r="B91" s="2" t="str">
        <x:v>Сибирский</x:v>
      </x:c>
      <x:c r="C91" s="2" t="str">
        <x:v>Студия</x:v>
      </x:c>
      <x:c r="D91" s="9" t="n">
        <x:v>3257600</x:v>
      </x:c>
      <x:c r="E91" s="21" t="n">
        <x:v>24.68</x:v>
      </x:c>
      <x:c r="F91" s="13" t="str">
        <x:v>https://ludi-ludi.ru/flats/sibirskiy/</x:v>
      </x:c>
      <x:c r="G91" s="23" t="n">
        <x:v>46327</x:v>
      </x:c>
      <x:c r="H91" s="13" t="str">
        <x:v>Самый дешёвый отображённый вариант в каталоге, скидка 20%, 13/17 этаж, секция 3б; Самый дешёвый отображённый вариант в каталоге, скидка 20%, 13/17 этаж, секция 3б</x:v>
      </x:c>
      <x:c r="I91" s="13"/>
      <x:c r="J91" s="13" t="str">
        <x:v>Студия</x:v>
      </x:c>
      <x:c r="K91" s="13" t="str">
        <x:v>Архив исходного файла, сохранён без удаления. Не участвует в импорте. Актуальная выбранная цена и самостоятельный источник находятся в строке Для карты = 1. Исходный статус: Ранее собранное предложение; перепроверить перед публикацией</x:v>
      </x:c>
      <x:c r="L91" s="2" t="n">
        <x:v>0</x:v>
      </x:c>
    </x:row>
    <x:row r="92" ht="69" customHeight="1">
      <x:c r="A92" s="7" t="str">
        <x:v>A024</x:v>
      </x:c>
      <x:c r="B92" s="7" t="str">
        <x:v>Сибирский</x:v>
      </x:c>
      <x:c r="C92" s="7" t="str">
        <x:v>Студия</x:v>
      </x:c>
      <x:c r="D92" s="8" t="n">
        <x:v>3248800</x:v>
      </x:c>
      <x:c r="E92" s="20" t="n">
        <x:v>24.68</x:v>
      </x:c>
      <x:c r="F92" s="12" t="str">
        <x:v>https://ludi-ludi.ru/flats/sibirskiy/</x:v>
      </x:c>
      <x:c r="G92" s="22" t="n">
        <x:v>46327</x:v>
      </x:c>
      <x:c r="H92" s="12" t="str">
        <x:v>9 этаж, секция 3б; цена со скидкой 20%</x:v>
      </x:c>
      <x:c r="I92" s="12"/>
      <x:c r="J92" s="12" t="str">
        <x:v>Студия</x:v>
      </x:c>
      <x:c r="K92" s="12" t="str">
        <x:v>Ранее подтверждённая цена сохранена. При повторной проверке каталога самый дешёвый показанный лот — 3 257 600 ₽, секция 3б, этаж 13. Лот 9 этажа за 3 248 800 ₽ повторно не подтверждён. Не утверждается, что он продан. Исходный статус: Подтверждено по официальному каталогу</x:v>
      </x:c>
      <x:c r="L92" s="7" t="n">
        <x:v>0</x:v>
      </x:c>
    </x:row>
    <x:row r="93" ht="69" customHeight="1">
      <x:c r="A93" s="2" t="str">
        <x:v>A025</x:v>
      </x:c>
      <x:c r="B93" s="2" t="str">
        <x:v>Сибирский</x:v>
      </x:c>
      <x:c r="C93" s="2" t="str">
        <x:v>2-комнатная</x:v>
      </x:c>
      <x:c r="D93" s="9" t="n">
        <x:v>6357600</x:v>
      </x:c>
      <x:c r="E93" s="21" t="n">
        <x:v>56.65</x:v>
      </x:c>
      <x:c r="F93" s="13" t="str">
        <x:v>https://ludi-ludi.ru/flats/sibirskiy/filter/rooms_amount_filter-is-two/apply/</x:v>
      </x:c>
      <x:c r="G93" s="23" t="n">
        <x:v>46327</x:v>
      </x:c>
      <x:c r="H93" s="13" t="str">
        <x:v>17 этаж, секция 1б; цена со скидкой 20%</x:v>
      </x:c>
      <x:c r="I93" s="13"/>
      <x:c r="J93" s="13" t="str">
        <x:v>2-комнатная</x:v>
      </x:c>
      <x:c r="K93" s="13" t="str">
        <x:v>Архив исходного файла, сохранён без удаления. Не участвует в импорте. Актуальная выбранная цена и самостоятельный источник находятся в строке Для карты = 1. Исходный статус: Подтверждено по официальному каталогу</x:v>
      </x:c>
      <x:c r="L93" s="2" t="n">
        <x:v>0</x:v>
      </x:c>
    </x:row>
    <x:row r="94" ht="69" customHeight="1">
      <x:c r="A94" s="7" t="str">
        <x:v>A026</x:v>
      </x:c>
      <x:c r="B94" s="7" t="str">
        <x:v>Сибирский</x:v>
      </x:c>
      <x:c r="C94" s="7" t="str">
        <x:v>3-комнатная</x:v>
      </x:c>
      <x:c r="D94" s="8" t="n">
        <x:v>7680800</x:v>
      </x:c>
      <x:c r="E94" s="20" t="n">
        <x:v>75.97</x:v>
      </x:c>
      <x:c r="F94" s="12" t="str">
        <x:v>https://ludi-ludi.ru/flats/sibirskiy/filter/rooms_amount_filter-is-three/apply/</x:v>
      </x:c>
      <x:c r="G94" s="22" t="n">
        <x:v>46327</x:v>
      </x:c>
      <x:c r="H94" s="12" t="str">
        <x:v>2 этаж, секция 2а; цена со скидкой 20%</x:v>
      </x:c>
      <x:c r="I94" s="12"/>
      <x:c r="J94" s="12" t="str">
        <x:v>3-комнатная</x:v>
      </x:c>
      <x:c r="K94" s="12" t="str">
        <x:v>Архив исходного файла, сохранён без удаления. Не участвует в импорте. Актуальная выбранная цена и самостоятельный источник находятся в строке Для карты = 1. Исходный статус: Подтверждено по официальному каталогу</x:v>
      </x:c>
      <x:c r="L94" s="7" t="n">
        <x:v>0</x:v>
      </x:c>
    </x:row>
    <x:row r="95" ht="69" customHeight="1">
      <x:c r="A95" s="2" t="str">
        <x:v>A027</x:v>
      </x:c>
      <x:c r="B95" s="2" t="str">
        <x:v>Айвазовский</x:v>
      </x:c>
      <x:c r="C95" s="2" t="str">
        <x:v>1-комнатная</x:v>
      </x:c>
      <x:c r="D95" s="9" t="n">
        <x:v>6739152</x:v>
      </x:c>
      <x:c r="E95" s="21" t="n">
        <x:v>31.92</x:v>
      </x:c>
      <x:c r="F95" s="13" t="str">
        <x:v>https://enco.ru/search/apartments/project/ayvazovskiy/</x:v>
      </x:c>
      <x:c r="G95" s="23" t="n">
        <x:v>46327</x:v>
      </x:c>
      <x:c r="H95" s="13" t="str">
        <x:v>Планировка ГП-12, опубликовано 'от' 6 739 152 ₽; уточнить конкретную квартиру</x:v>
      </x:c>
      <x:c r="I95" s="13"/>
      <x:c r="J95" s="13" t="str">
        <x:v>1-комнатная</x:v>
      </x:c>
      <x:c r="K95" s="13" t="str">
        <x:v>Архив исходника. В нём встречались цены «от» для группы этажей и ссылки на зеркало. Для карты открыты индивидуальные карточки на enco.ru; их текущая цена имеет приоритет. Исходный статус: Проверено в каталоге; цена от в группе этажей</x:v>
      </x:c>
      <x:c r="L95" s="2" t="n">
        <x:v>0</x:v>
      </x:c>
    </x:row>
    <x:row r="96" ht="69" customHeight="1">
      <x:c r="A96" s="7" t="str">
        <x:v>A028</x:v>
      </x:c>
      <x:c r="B96" s="7" t="str">
        <x:v>Добро на ДОКе</x:v>
      </x:c>
      <x:c r="C96" s="7" t="str">
        <x:v>2-комнатная</x:v>
      </x:c>
      <x:c r="D96" s="8" t="n">
        <x:v>6500000</x:v>
      </x:c>
      <x:c r="E96" s="20" t="n">
        <x:v>50.7</x:v>
      </x:c>
      <x:c r="F96" s="12" t="str">
        <x:v>https://gkinko.ru/kvartiry/dvuhkomnatnaya-50-7-kv-m-7309973</x:v>
      </x:c>
      <x:c r="G96" s="22" t="n">
        <x:v>46327</x:v>
      </x:c>
      <x:c r="H96" s="12" t="str">
        <x:v>Квартира №324; официальная карточка, сведения на сайте актуальны на 26.10.2026</x:v>
      </x:c>
      <x:c r="I96" s="12"/>
      <x:c r="J96" s="12" t="str">
        <x:v>2-комнатная</x:v>
      </x:c>
      <x:c r="K96" s="12" t="str">
        <x:v>Архив исходного файла, сохранён без удаления. Не участвует в импорте. Актуальная выбранная цена и самостоятельный источник находятся в строке Для карты = 1. Исходный статус: Проверено по официальной карточке</x:v>
      </x:c>
      <x:c r="L96" s="7" t="n">
        <x:v>0</x:v>
      </x:c>
    </x:row>
    <x:row r="97" ht="69" customHeight="1">
      <x:c r="A97" s="2" t="str">
        <x:v>A029</x:v>
      </x:c>
      <x:c r="B97" s="2" t="str">
        <x:v>Добро на ДОКе</x:v>
      </x:c>
      <x:c r="C97" s="2" t="str">
        <x:v>3-комнатная</x:v>
      </x:c>
      <x:c r="D97" s="9" t="n">
        <x:v>8500000</x:v>
      </x:c>
      <x:c r="E97" s="21" t="n">
        <x:v>71.3</x:v>
      </x:c>
      <x:c r="F97" s="13" t="str">
        <x:v>https://gkinko.ru/kvartiry/trekhkomnatnaya-71-3-kv-m-7309654</x:v>
      </x:c>
      <x:c r="G97" s="23" t="n">
        <x:v>46327</x:v>
      </x:c>
      <x:c r="H97" s="13" t="str">
        <x:v>Квартира №6; официальная карточка, сведения на сайте актуальны на 25.09.2026</x:v>
      </x:c>
      <x:c r="I97" s="13"/>
      <x:c r="J97" s="13" t="str">
        <x:v>3-комнатная</x:v>
      </x:c>
      <x:c r="K97" s="13" t="str">
        <x:v>Архив исходника. Карточка №6 7309654 сейчас показывает 8 825 000 ₽. Для карты найдена другая 3-комнатная за 8 725 000 ₽. Исходный статус: Проверено по официальной карточке</x:v>
      </x:c>
      <x:c r="L97" s="2" t="n">
        <x:v>0</x:v>
      </x:c>
    </x:row>
    <x:row r="98" ht="69" customHeight="1">
      <x:c r="A98" s="7" t="str">
        <x:v>A030</x:v>
      </x:c>
      <x:c r="B98" s="7" t="str">
        <x:v>Добро на ДОКе</x:v>
      </x:c>
      <x:c r="C98" s="7" t="str">
        <x:v>1-комнатная</x:v>
      </x:c>
      <x:c r="D98" s="8" t="n">
        <x:v>4900000</x:v>
      </x:c>
      <x:c r="E98" s="20" t="n">
        <x:v>35</x:v>
      </x:c>
      <x:c r="F98" s="12" t="str">
        <x:v>https://gkinko.ru/kvartiry</x:v>
      </x:c>
      <x:c r="G98" s="22" t="n">
        <x:v>46327</x:v>
      </x:c>
      <x:c r="H98" s="12" t="str">
        <x:v>Официальный каталог показывает 1-комнатную 35 м² за 4 900 000 ₽</x:v>
      </x:c>
      <x:c r="I98" s="12"/>
      <x:c r="J98" s="12" t="str">
        <x:v>1-комнатная</x:v>
      </x:c>
      <x:c r="K98" s="12" t="str">
        <x:v>Архив исходного файла, сохранён без удаления. Не участвует в импорте. Актуальная выбранная цена и самостоятельный источник находятся в строке Для карты = 1. Исходный статус: Проверено в официальном каталоге</x:v>
      </x:c>
      <x:c r="L98" s="7" t="n">
        <x:v>0</x:v>
      </x:c>
    </x:row>
    <x:row r="99" ht="69" customHeight="1">
      <x:c r="A99" s="2" t="str">
        <x:v>A031</x:v>
      </x:c>
      <x:c r="B99" s="2" t="str">
        <x:v>Прео</x:v>
      </x:c>
      <x:c r="C99" s="2" t="str">
        <x:v>Студия</x:v>
      </x:c>
      <x:c r="D99" s="9" t="n">
        <x:v>4689903</x:v>
      </x:c>
      <x:c r="E99" s="21" t="n">
        <x:v>32.77</x:v>
      </x:c>
      <x:c r="F99" s="13" t="str">
        <x:v>https://enco.ru/search/apartments/project/preo/studii/</x:v>
      </x:c>
      <x:c r="G99" s="23" t="n">
        <x:v>46327</x:v>
      </x:c>
      <x:c r="H99" s="13" t="str">
        <x:v>Планировка, официально указано «от», скидочная цена; не конкретная квартира</x:v>
      </x:c>
      <x:c r="I99" s="13"/>
      <x:c r="J99" s="13" t="str">
        <x:v>Студия</x:v>
      </x:c>
      <x:c r="K99" s="13" t="str">
        <x:v>Архив исходника. В нём встречались цены «от» для группы этажей и ссылки на зеркало. Для карты открыты индивидуальные карточки на enco.ru; их текущая цена имеет приоритет. Исходный статус: Проверено в официальном каталоге</x:v>
      </x:c>
      <x:c r="L99" s="2" t="n">
        <x:v>0</x:v>
      </x:c>
    </x:row>
    <x:row r="100" ht="69" customHeight="1">
      <x:c r="A100" s="7" t="str">
        <x:v>A032</x:v>
      </x:c>
      <x:c r="B100" s="7" t="str">
        <x:v>Сердце Сибири</x:v>
      </x:c>
      <x:c r="C100" s="7" t="str">
        <x:v>2-комнатная</x:v>
      </x:c>
      <x:c r="D100" s="8" t="n">
        <x:v>8232000</x:v>
      </x:c>
      <x:c r="E100" s="20" t="n">
        <x:v>42.94</x:v>
      </x:c>
      <x:c r="F100" s="12" t="str">
        <x:v>https://strana.com/tmn/serdtche-sibiri/flats/13450519/</x:v>
      </x:c>
      <x:c r="G100" s="22" t="n">
        <x:v>46327</x:v>
      </x:c>
      <x:c r="H100" s="12" t="str">
        <x:v>Квартал Экологов, 4 этаж; цена -16% при 100% оплате</x:v>
      </x:c>
      <x:c r="I100" s="12"/>
      <x:c r="J100" s="12" t="str">
        <x:v>2-комнатная</x:v>
      </x:c>
      <x:c r="K100" s="12" t="str">
        <x:v>Архив исходного файла, сохранён без удаления. Не участвует в импорте. Актуальная выбранная цена и самостоятельный источник находятся в строке Для карты = 1. Исходный статус: Цена проверена на официальной карточке</x:v>
      </x:c>
      <x:c r="L100" s="7" t="n">
        <x:v>0</x:v>
      </x:c>
    </x:row>
    <x:row r="101" ht="69" customHeight="1">
      <x:c r="A101" s="2" t="str">
        <x:v>A033</x:v>
      </x:c>
      <x:c r="B101" s="2" t="str">
        <x:v>Сердце Сибири</x:v>
      </x:c>
      <x:c r="C101" s="2" t="str">
        <x:v>3-комнатная</x:v>
      </x:c>
      <x:c r="D101" s="9" t="n">
        <x:v>10250000</x:v>
      </x:c>
      <x:c r="E101" s="21" t="n">
        <x:v>56.23</x:v>
      </x:c>
      <x:c r="F101" s="13" t="str">
        <x:v>https://strana.com/tmn/serdtche-sibiri/flats/13450520/</x:v>
      </x:c>
      <x:c r="G101" s="23" t="n">
        <x:v>46327</x:v>
      </x:c>
      <x:c r="H101" s="13" t="str">
        <x:v>Квартал Экологов, в списке других предложений; условия цены уточнить</x:v>
      </x:c>
      <x:c r="I101" s="13"/>
      <x:c r="J101" s="13" t="str">
        <x:v>3-комнатная</x:v>
      </x:c>
      <x:c r="K101" s="13" t="str">
        <x:v>Архив исходного файла, сохранён без удаления. Не участвует в импорте. Актуальная выбранная цена и самостоятельный источник находятся в строке Для карты = 1. Исходный статус: Цена с официального сайта, в перечне квартир</x:v>
      </x:c>
      <x:c r="L101" s="2" t="n">
        <x:v>0</x:v>
      </x:c>
    </x:row>
    <x:row r="102" ht="69" customHeight="1">
      <x:c r="A102" s="7" t="str">
        <x:v>A034</x:v>
      </x:c>
      <x:c r="B102" s="7" t="str">
        <x:v>Остров-сад</x:v>
      </x:c>
      <x:c r="C102" s="7" t="str">
        <x:v>2-комнатная</x:v>
      </x:c>
      <x:c r="D102" s="8" t="n">
        <x:v>6210000</x:v>
      </x:c>
      <x:c r="E102" s="20" t="n">
        <x:v>27.91</x:v>
      </x:c>
      <x:c r="F102" s="12" t="str">
        <x:v>https://strana.com/tmn/ostrov-sad/flats/14921993/</x:v>
      </x:c>
      <x:c r="G102" s="22" t="n">
        <x:v>46327</x:v>
      </x:c>
      <x:c r="H102" s="12" t="str">
        <x:v>Дом Мальта, предложение в списке аналогичной планировки; возможная скидка</x:v>
      </x:c>
      <x:c r="I102" s="12"/>
      <x:c r="J102" s="12" t="str">
        <x:v>2-комнатная</x:v>
      </x:c>
      <x:c r="K102" s="12" t="str">
        <x:v>Архив исходника. Часть строк ссылалась на одну карточку для разных типов и не имела площади. Для карты выбраны отдельные проверенные карточки; архивная цена не удалена. Исходный статус: Цена с официального сайта</x:v>
      </x:c>
      <x:c r="L102" s="7" t="n">
        <x:v>0</x:v>
      </x:c>
    </x:row>
    <x:row r="103" ht="69" customHeight="1">
      <x:c r="A103" s="2" t="str">
        <x:v>A035</x:v>
      </x:c>
      <x:c r="B103" s="2" t="str">
        <x:v>Остров-сад</x:v>
      </x:c>
      <x:c r="C103" s="2" t="str">
        <x:v>2-комнатная</x:v>
      </x:c>
      <x:c r="D103" s="9" t="n">
        <x:v>6690000</x:v>
      </x:c>
      <x:c r="E103" s="21" t="n">
        <x:v>38.66</x:v>
      </x:c>
      <x:c r="F103" s="13" t="str">
        <x:v>https://strana.com/tmn/ostrov-sad/flats/15381973/</x:v>
      </x:c>
      <x:c r="G103" s="23" t="n">
        <x:v>46327</x:v>
      </x:c>
      <x:c r="H103" s="13" t="str">
        <x:v>Дом Майорка, корпус 1; цена в списке предложений</x:v>
      </x:c>
      <x:c r="I103" s="13"/>
      <x:c r="J103" s="13" t="str">
        <x:v>2-комнатная</x:v>
      </x:c>
      <x:c r="K103" s="13" t="str">
        <x:v>Архив исходника. Часть строк ссылалась на одну карточку для разных типов и не имела площади. Для карты выбраны отдельные проверенные карточки; архивная цена не удалена. Исходный статус: Цена с официального сайта</x:v>
      </x:c>
      <x:c r="L103" s="2" t="n">
        <x:v>0</x:v>
      </x:c>
    </x:row>
    <x:row r="104" ht="69" customHeight="1">
      <x:c r="A104" s="7" t="str">
        <x:v>I001</x:v>
      </x:c>
      <x:c r="B104" s="7" t="str">
        <x:v>Челюскинцев, 5</x:v>
      </x:c>
      <x:c r="C104" s="7" t="str">
        <x:v>1-комнатная</x:v>
      </x:c>
      <x:c r="D104" s="8" t="n">
        <x:v>14230000</x:v>
      </x:c>
      <x:c r="E104" s="20" t="n">
        <x:v>35.8</x:v>
      </x:c>
      <x:c r="F104" s="12" t="str">
        <x:v>https://premium.72dom.com/?current_page=2</x:v>
      </x:c>
      <x:c r="G104" s="22" t="n">
        <x:v>46327</x:v>
      </x:c>
      <x:c r="H104" s="12" t="str">
        <x:v>В индексе официальной страницы указано «от». Дата обхода — около 3 недель до проверки</x:v>
      </x:c>
      <x:c r="I104" s="12" t="str">
        <x:v>ГП-5; этаж 3</x:v>
      </x:c>
      <x:c r="J104" s="12" t="str">
        <x:v>1-комнатная</x:v>
      </x:c>
      <x:c r="K104" s="12" t="str">
        <x:v>Индекс официального сайта. Фиксированная актуальная цена в браузере не подтверждена из-за 500. Для карты = 0</x:v>
      </x:c>
      <x:c r="L104" s="7" t="n">
        <x:v>0</x:v>
      </x:c>
    </x:row>
    <x:row r="105" ht="69" customHeight="1">
      <x:c r="A105" s="2" t="str">
        <x:v>I002</x:v>
      </x:c>
      <x:c r="B105" s="2" t="str">
        <x:v>Челюскинцев, 5</x:v>
      </x:c>
      <x:c r="C105" s="2" t="str">
        <x:v>3-комнатная</x:v>
      </x:c>
      <x:c r="D105" s="9" t="n">
        <x:v>16240000</x:v>
      </x:c>
      <x:c r="E105" s="21" t="n">
        <x:v>55.9</x:v>
      </x:c>
      <x:c r="F105" s="13" t="str">
        <x:v>https://premium.72dom.com/?current_page=2</x:v>
      </x:c>
      <x:c r="G105" s="23" t="n">
        <x:v>46327</x:v>
      </x:c>
      <x:c r="H105" s="13" t="str">
        <x:v>В индексе официальной страницы указано «от». Дата обхода — около 3 недель до проверки</x:v>
      </x:c>
      <x:c r="I105" s="13" t="str">
        <x:v>ГП-4; этаж 2</x:v>
      </x:c>
      <x:c r="J105" s="13" t="str">
        <x:v>Евротрехкомнатная (3Е)</x:v>
      </x:c>
      <x:c r="K105" s="13" t="str">
        <x:v>Индекс официального сайта. Фиксированная актуальная цена в браузере не подтверждена из-за 500. Для карты = 0</x:v>
      </x:c>
      <x:c r="L105" s="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20cf24b3244c99"/>
  </x:tableParts>
</x:worksheet>
</file>

<file path=xl/worksheets/sheet3.xml><?xml version="1.0" encoding="utf-8"?>
<x:worksheet xmlns:x="http://schemas.openxmlformats.org/spreadsheetml/2006/main">
  <x:sheetPr>
    <x:tabColor rgb="FFC48B3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17" hidden="0" customWidth="1"/>
    <x:col min="6" max="6" width="116" hidden="0" customWidth="1"/>
  </x:cols>
  <x:sheetData>
    <x:row r="1" ht="36" customHeight="1">
      <x:c r="A1" s="6" t="str">
        <x:v>ЖК</x:v>
      </x:c>
      <x:c r="B1" s="6" t="str">
        <x:v>Комнатность</x:v>
      </x:c>
      <x:c r="C1" s="6" t="str">
        <x:v>Застройщик</x:v>
      </x:c>
      <x:c r="D1" s="6" t="str">
        <x:v>Проверенный официальный каталог</x:v>
      </x:c>
      <x:c r="E1" s="6" t="str">
        <x:v>Дата проверки</x:v>
      </x:c>
      <x:c r="F1" s="6" t="str">
        <x:v>Конкретная причина</x:v>
      </x:c>
    </x:row>
    <x:row r="2" ht="80" customHeight="1">
      <x:c r="A2" s="7" t="str">
        <x:v>Румянский</x:v>
      </x:c>
      <x:c r="B2" s="7" t="str">
        <x:v>4-комнатная</x:v>
      </x:c>
      <x:c r="C2" s="7" t="str">
        <x:v>Баланс Девелопмент</x:v>
      </x:c>
      <x:c r="D2" s="12" t="str">
        <x:v>https://balance-development.ru/complexes/rumyansky</x:v>
      </x:c>
      <x:c r="E2" s="22" t="n">
        <x:v>46327</x:v>
      </x:c>
      <x:c r="F2" s="12" t="str">
        <x:v>В проекте и каталоге Румянского доступны фильтры Студия, 1, 2, 3. Категории 4 нет. Проверены очереди в общем каталоге. Отсутствие 4-комнатных квартир не доказано.</x:v>
      </x:c>
    </x:row>
    <x:row r="3" ht="80" customHeight="1">
      <x:c r="A3" s="2" t="str">
        <x:v>Чистые пруды</x:v>
      </x:c>
      <x:c r="B3" s="2" t="str">
        <x:v>4-комнатная</x:v>
      </x:c>
      <x:c r="C3" s="2" t="str">
        <x:v>Паритет</x:v>
      </x:c>
      <x:c r="D3" s="13" t="str">
        <x:v>https://xn--80aki0agnb.xn--p1ai/flats?project=cistyeprudy</x:v>
      </x:c>
      <x:c r="E3" s="23" t="n">
        <x:v>46327</x:v>
      </x:c>
      <x:c r="F3" s="13" t="str">
        <x:v>В каталоге Чистых прудов есть фильтры Студия, 1, 2, 3; категории 4 нет. Выдача включает ГП-1, ГП-2, ГП-3. Отсутствие 4-комнатных квартир не доказано.</x:v>
      </x:c>
    </x:row>
    <x:row r="4" ht="80" customHeight="1">
      <x:c r="A4" s="7" t="str">
        <x:v>Мотивы</x:v>
      </x:c>
      <x:c r="B4" s="7" t="str">
        <x:v>4-комнатная</x:v>
      </x:c>
      <x:c r="C4" s="7" t="str">
        <x:v>География</x:v>
      </x:c>
      <x:c r="D4" s="12" t="str">
        <x:v>https://xn--80afahr7ap7a8g.xn--p1ai/apartments/</x:v>
      </x:c>
      <x:c r="E4" s="22" t="n">
        <x:v>46327</x:v>
      </x:c>
      <x:c r="F4" s="12" t="str">
        <x:v>В каталоге Географии фильтры только Студии, 1, 2, 3. По Мотивам в списке корпусов 1, 2, 3, 4, 6, 7, 8; отдельной категории 4 нет. Отсутствие таких квартир не доказано.</x:v>
      </x:c>
    </x:row>
    <x:row r="5" ht="80" customHeight="1">
      <x:c r="A5" s="2" t="str">
        <x:v>Окинава</x:v>
      </x:c>
      <x:c r="B5" s="2" t="str">
        <x:v>4-комнатная</x:v>
      </x:c>
      <x:c r="C5" s="2" t="str">
        <x:v>География</x:v>
      </x:c>
      <x:c r="D5" s="13" t="str">
        <x:v>https://xn--80afahr7ap7a8g.xn--p1ai/apartments/</x:v>
      </x:c>
      <x:c r="E5" s="23" t="n">
        <x:v>46327</x:v>
      </x:c>
      <x:c r="F5" s="13" t="str">
        <x:v>В каталоге Географии фильтры только Студии, 1, 2, 3. Для Окинавы доступны дома Воды, Огня и Воздуха; отдельной категории 4 нет. Отсутствие таких квартир не доказано.</x:v>
      </x:c>
    </x:row>
    <x:row r="6" ht="80" customHeight="1">
      <x:c r="A6" s="7" t="str">
        <x:v>Челюскинцев, 5</x:v>
      </x:c>
      <x:c r="B6" s="7" t="str">
        <x:v>1-комнатная</x:v>
      </x:c>
      <x:c r="C6" s="7" t="str">
        <x:v>ПСК Дом</x:v>
      </x:c>
      <x:c r="D6" s="12" t="str">
        <x:v>https://premium.72dom.com/?complexes=%D0%A7%D0%B5%D0%BB%D1%8E%D1%81%D0%BA%D0%B8%D0%BD%D1%86%D0%B5%D0%B2+5</x:v>
      </x:c>
      <x:c r="E6" s="22" t="n">
        <x:v>46327</x:v>
      </x:c>
      <x:c r="F6" s="12" t="str">
        <x:v>Премиальный каталог после первоначальной загрузки вернул 500 «Ошибка сервера, скоро всё заработает». Фильтры и пагинация не позволили проверить карточку 1К. В поисковом индексе есть 1К 35,8 м² от 14,23 млн ₽, но актуальная фиксированная цена лота не подтверждена.</x:v>
      </x:c>
    </x:row>
    <x:row r="7" ht="80" customHeight="1">
      <x:c r="A7" s="2" t="str">
        <x:v>Челюскинцев, 5</x:v>
      </x:c>
      <x:c r="B7" s="2" t="str">
        <x:v>3-комнатная</x:v>
      </x:c>
      <x:c r="C7" s="2" t="str">
        <x:v>ПСК Дом</x:v>
      </x:c>
      <x:c r="D7" s="13" t="str">
        <x:v>https://premium.72dom.com/?complexes=%D0%A7%D0%B5%D0%BB%D1%8E%D1%81%D0%BA%D0%B8%D0%BD%D1%86%D0%B5%D0%B2+5</x:v>
      </x:c>
      <x:c r="E7" s="23" t="n">
        <x:v>46327</x:v>
      </x:c>
      <x:c r="F7" s="13" t="str">
        <x:v>Каталог после первоначальной загрузки вернул 500. Фильтр 3Е и пагинация не дали проверяемой карточки с фиксированной ценой. В индексе есть 3Е 55,9 м² от 16,24 млн ₽; значение «от» не перенесено как цена конкретной квартиры.</x:v>
      </x:c>
    </x:row>
    <x:row r="8" ht="80" customHeight="1">
      <x:c r="A8" s="7" t="str">
        <x:v>Челюскинцев, 5</x:v>
      </x:c>
      <x:c r="B8" s="7" t="str">
        <x:v>4-комнатная</x:v>
      </x:c>
      <x:c r="C8" s="7" t="str">
        <x:v>ПСК Дом</x:v>
      </x:c>
      <x:c r="D8" s="12" t="str">
        <x:v>https://premium.72dom.com/?complexes=%D0%A7%D0%B5%D0%BB%D1%8E%D1%81%D0%BA%D0%B8%D0%BD%D1%86%D0%B5%D0%B2+5</x:v>
      </x:c>
      <x:c r="E8" s="22" t="n">
        <x:v>46327</x:v>
      </x:c>
      <x:c r="F8" s="12" t="str">
        <x:v>Каталог вернул 500 после первой загрузки. В интерфейсе были 4Е и 5Е, но открыть соответствующие квартиры и корпуса не удалось. Отсутствие квартир не утверждается.</x:v>
      </x:c>
    </x:row>
    <x:row r="9" ht="80" customHeight="1">
      <x:c r="A9" s="2" t="str">
        <x:v>Добро на ДОКе</x:v>
      </x:c>
      <x:c r="B9" s="2" t="str">
        <x:v>Студия</x:v>
      </x:c>
      <x:c r="C9" s="2" t="str">
        <x:v>ИНКО</x:v>
      </x:c>
      <x:c r="D9" s="13" t="str">
        <x:v>https://gkinko.ru/kvartiry/dobrodok?project=7235482</x:v>
      </x:c>
      <x:c r="E9" s="23" t="n">
        <x:v>46327</x:v>
      </x:c>
      <x:c r="F9" s="13" t="str">
        <x:v>Для Добро на ДОКе каталог и страницы секций показывают 1-, 2-, 3-комнатные. Попытка включить студии не дала выбранного состояния и отдельного лота. Отсутствие студий не доказано.</x:v>
      </x:c>
    </x:row>
    <x:row r="10" ht="80" customHeight="1">
      <x:c r="A10" s="7" t="str">
        <x:v>Добро на ДОКе</x:v>
      </x:c>
      <x:c r="B10" s="7" t="str">
        <x:v>4-комнатная</x:v>
      </x:c>
      <x:c r="C10" s="7" t="str">
        <x:v>ИНКО</x:v>
      </x:c>
      <x:c r="D10" s="12" t="str">
        <x:v>https://gkinko.ru/kvartiry/dobrodok?project=7235482</x:v>
      </x:c>
      <x:c r="E10" s="22" t="n">
        <x:v>46327</x:v>
      </x:c>
      <x:c r="F10" s="12" t="str">
        <x:v>В просмотренных секциях Добро на ДОКе перечислены 1-, 2-, 3-комнатные, конкретный лот 4+ с ценой не получен. Отсутствие 4-комнатных не доказано.</x:v>
      </x:c>
    </x:row>
    <x:row r="11" ht="80" customHeight="1">
      <x:c r="A11" s="2" t="str">
        <x:v>Футуро</x:v>
      </x:c>
      <x:c r="B11" s="2" t="str">
        <x:v>Студия</x:v>
      </x:c>
      <x:c r="C11" s="2" t="str">
        <x:v>Newton</x:v>
      </x:c>
      <x:c r="D11" s="13" t="str">
        <x:v>https://newton.ru/futuro/flats</x:v>
      </x:c>
      <x:c r="E11" s="23" t="n">
        <x:v>46327</x:v>
      </x:c>
      <x:c r="F11" s="13" t="str">
        <x:v>После отключения фильтра «Акция» каталог Футуро показал 46 квартир по проекту. Фильтр «Студия» дал пустую выдачу. Это не доказательство отсутствия студий в других продажах/корпусах.</x:v>
      </x:c>
    </x:row>
    <x:row r="12" ht="80" customHeight="1">
      <x:c r="A12" s="7" t="str">
        <x:v>Футуро</x:v>
      </x:c>
      <x:c r="B12" s="7" t="str">
        <x:v>4-комнатная</x:v>
      </x:c>
      <x:c r="C12" s="7" t="str">
        <x:v>Newton</x:v>
      </x:c>
      <x:c r="D12" s="12" t="str">
        <x:v>https://newton.ru/futuro/flats</x:v>
      </x:c>
      <x:c r="E12" s="22" t="n">
        <x:v>46327</x:v>
      </x:c>
      <x:c r="F12" s="12" t="str">
        <x:v>В общем каталоге Футуро без фильтра «Акция» выбрана категория 4: пустая выдача. Проверены доступные предложения с артикулами домов 1 и 2. Отсутствие таких квартир не доказано.</x:v>
      </x:c>
    </x:row>
    <x:row r="13" ht="80" customHeight="1">
      <x:c r="A13" s="2" t="str">
        <x:v>Прео</x:v>
      </x:c>
      <x:c r="B13" s="2" t="str">
        <x:v>4-комнатная</x:v>
      </x:c>
      <x:c r="C13" s="2" t="str">
        <x:v>ЭНКО</x:v>
      </x:c>
      <x:c r="D13" s="13" t="str">
        <x:v>https://enco.ru/search/apartments/project/preo/</x:v>
      </x:c>
      <x:c r="E13" s="23" t="n">
        <x:v>46327</x:v>
      </x:c>
      <x:c r="F13" s="13" t="str">
        <x:v>В фильтре ЭНКО для Прео поле rooms=4 отключено (disabled). Все корпуса проекта включены. Конкретная 4-комнатная с ценой не получена; отсутствие таких квартир не доказано.</x:v>
      </x:c>
    </x:row>
    <x:row r="14" ht="80" customHeight="1">
      <x:c r="A14" s="7" t="str">
        <x:v>Фатера</x:v>
      </x:c>
      <x:c r="B14" s="7" t="str">
        <x:v>4-комнатная</x:v>
      </x:c>
      <x:c r="C14" s="7" t="str">
        <x:v>Характер Девелопмент</x:v>
      </x:c>
      <x:c r="D14" s="12" t="str">
        <x:v>https://xn--80aapt2admt.xn--p1ai/catalog/apartments?complex=xarakter_fatera&amp;city_id=1</x:v>
      </x:c>
      <x:c r="E14" s="22" t="n">
        <x:v>46327</x:v>
      </x:c>
      <x:c r="F14" s="12" t="str">
        <x:v>В каталоге Фатеры выбрана 4-комнатная; сайт показал «Ничего не найдено». Выдача без ограничения по корпусу. Отсутствие таких квартир не доказано.</x:v>
      </x:c>
    </x:row>
    <x:row r="15" ht="80" customHeight="1">
      <x:c r="A15" s="2" t="str">
        <x:v>Сибирский</x:v>
      </x:c>
      <x:c r="B15" s="2" t="str">
        <x:v>4-комнатная</x:v>
      </x:c>
      <x:c r="C15" s="2" t="str">
        <x:v>Люди</x:v>
      </x:c>
      <x:c r="D15" s="13" t="str">
        <x:v>https://ludi-ludi.ru/flats/sibirskiy/</x:v>
      </x:c>
      <x:c r="E15" s="23" t="n">
        <x:v>46327</x:v>
      </x:c>
      <x:c r="F15" s="13" t="str">
        <x:v>В каталоге Сибирского фильтры только студия, 1, 2, 3; дом «Любой». В просмотренной выдаче и фильтрах 4-комнатных нет. Отсутствие таких квартир не доказано.</x:v>
      </x:c>
    </x:row>
    <x:row r="16" ht="80" customHeight="1">
      <x:c r="A16" s="7" t="str">
        <x:v>Символ</x:v>
      </x:c>
      <x:c r="B16" s="7" t="str">
        <x:v>4-комнатная</x:v>
      </x:c>
      <x:c r="C16" s="7" t="str">
        <x:v>ГК Создатели</x:v>
      </x:c>
      <x:c r="D16" s="12" t="str">
        <x:v>https://xn--80ahefirqxn.xn--p1ai/realty?projects=simvol</x:v>
      </x:c>
      <x:c r="E16" s="22" t="n">
        <x:v>46327</x:v>
      </x:c>
      <x:c r="F16" s="12" t="str">
        <x:v>В каталоге Символа с проектом simvol кнопка 4+ отключена. Проверены предложения 1 и 2 очереди. Это не доказывает отсутствие таких квартир в проекте.</x:v>
      </x:c>
    </x:row>
    <x:row r="17" ht="80" customHeight="1">
      <x:c r="A17" s="2" t="str">
        <x:v>Сезоны</x:v>
      </x:c>
      <x:c r="B17" s="2" t="str">
        <x:v>4-комнатная</x:v>
      </x:c>
      <x:c r="C17" s="2" t="str">
        <x:v>4D</x:v>
      </x:c>
      <x:c r="D17" s="13" t="str">
        <x:v>https://4d.life/flats/zhk-sezony/</x:v>
      </x:c>
      <x:c r="E17" s="23" t="n">
        <x:v>46327</x:v>
      </x:c>
      <x:c r="F17" s="13" t="str">
        <x:v>В общем каталоге Сезонов доступны Ст, 1, 2, 3. Проверены предложения ГП-1.1, 1.4, 1.5, 2.1, 2.2 и ГП-6; категории 4 нет. Отсутствие таких квартир не доказано.</x:v>
      </x:c>
    </x:row>
    <x:row r="18" ht="80" customHeight="1">
      <x:c r="A18" s="7" t="str">
        <x:v>Плэй</x:v>
      </x:c>
      <x:c r="B18" s="7" t="str">
        <x:v>Студия</x:v>
      </x:c>
      <x:c r="C18" s="7" t="str">
        <x:v>Newton</x:v>
      </x:c>
      <x:c r="D18" s="12" t="str">
        <x:v>https://newton.ru/play/flats</x:v>
      </x:c>
      <x:c r="E18" s="22" t="n">
        <x:v>46327</x:v>
      </x:c>
      <x:c r="F18" s="12" t="str">
        <x:v>В каталоге Плэй после отключения «Акция» было 94 квартиры. Выбор «Студия» дал пустую выдачу. Отсутствие студий в проекте не доказано.</x:v>
      </x:c>
    </x:row>
    <x:row r="19" ht="80" customHeight="1">
      <x:c r="A19" s="2" t="str">
        <x:v>Плэй</x:v>
      </x:c>
      <x:c r="B19" s="2" t="str">
        <x:v>4-комнатная</x:v>
      </x:c>
      <x:c r="C19" s="2" t="str">
        <x:v>Newton</x:v>
      </x:c>
      <x:c r="D19" s="13" t="str">
        <x:v>https://newton.ru/play/flats</x:v>
      </x:c>
      <x:c r="E19" s="23" t="n">
        <x:v>46327</x:v>
      </x:c>
      <x:c r="F19" s="13" t="str">
        <x:v>В каталоге Плэй без фильтра «Акция» категория 4 дала пустую выдачу. Отсутствие таких квартир в проекте не доказано.</x:v>
      </x:c>
    </x:row>
  </x:sheetData>
  <x:pageMargins left="0.7" right="0.7" top="0.75" bottom="0.75" header="0.3" footer="0.3"/>
  <x:tableParts count="1">
    <x:tablePart xmlns:r="http://schemas.openxmlformats.org/officeDocument/2006/relationships" r:id="R40c1bc86d40a46ca"/>
  </x:tableParts>
</x:worksheet>
</file>